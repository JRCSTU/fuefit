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95" windowWidth="22995" windowHeight="9720"/>
  </bookViews>
  <sheets>
    <sheet name="Input" sheetId="1" r:id="rId1"/>
    <sheet name="Summary" sheetId="13" r:id="rId2"/>
    <sheet name="engine1" sheetId="23" r:id="rId3"/>
    <sheet name="engine2" sheetId="24" r:id="rId4"/>
    <sheet name="engine3" sheetId="25" r:id="rId5"/>
    <sheet name="engine4" sheetId="26" r:id="rId6"/>
  </sheets>
  <functionGroups builtInGroupCount="17"/>
  <definedNames>
    <definedName name="_xlnm._FilterDatabase" localSheetId="2" hidden="1">engine1!$A$3:$E$100</definedName>
    <definedName name="_xlnm._FilterDatabase" localSheetId="3" hidden="1">engine2!$A$3:$E$120</definedName>
    <definedName name="_xlnm._FilterDatabase" localSheetId="4" hidden="1">engine3!$A$4:$E$209</definedName>
    <definedName name="_xlnm._FilterDatabase" localSheetId="5" hidden="1">engine4!$A$4:$E$73</definedName>
    <definedName name="Sheets">TRANSPOSE(GET.WORKBOOK(1))&amp;T(NOW())</definedName>
  </definedNames>
  <calcPr calcId="145621"/>
</workbook>
</file>

<file path=xl/calcChain.xml><?xml version="1.0" encoding="utf-8"?>
<calcChain xmlns="http://schemas.openxmlformats.org/spreadsheetml/2006/main">
  <c r="E3" i="13" l="1"/>
  <c r="D37" i="13" a="1"/>
  <c r="D187" i="13" a="1"/>
  <c r="D8" i="13" a="1"/>
  <c r="C9" i="13"/>
  <c r="D80" i="13" a="1"/>
  <c r="D201" i="13" a="1"/>
  <c r="D27" i="13" a="1"/>
  <c r="D67" i="13" a="1"/>
  <c r="D112" i="13" a="1"/>
  <c r="D190" i="13" a="1"/>
  <c r="D188" i="13" a="1"/>
  <c r="D35" i="13" a="1"/>
  <c r="D230" i="13" a="1"/>
  <c r="D63" i="13" a="1"/>
  <c r="D59" i="13" a="1"/>
  <c r="D76" i="13" a="1"/>
  <c r="D269" i="13" a="1"/>
  <c r="D117" i="13" a="1"/>
  <c r="D14" i="13" a="1"/>
  <c r="D90" i="13" a="1"/>
  <c r="D131" i="13" a="1"/>
  <c r="D40" i="13" a="1"/>
  <c r="D204" i="13" a="1"/>
  <c r="D260" i="13" a="1"/>
  <c r="D214" i="13" a="1"/>
  <c r="D106" i="13" a="1"/>
  <c r="D144" i="13" a="1"/>
  <c r="D210" i="13" a="1"/>
  <c r="D185" i="13" a="1"/>
  <c r="D95" i="13" a="1"/>
  <c r="D48" i="13" a="1"/>
  <c r="D159" i="13" a="1"/>
  <c r="D114" i="13" a="1"/>
  <c r="D49" i="13" a="1"/>
  <c r="D170" i="13" a="1"/>
  <c r="D180" i="13" a="1"/>
  <c r="D258" i="13" a="1"/>
  <c r="D101" i="13" a="1"/>
  <c r="D83" i="13" a="1"/>
  <c r="D32" i="13" a="1"/>
  <c r="D209" i="13" a="1"/>
  <c r="D126" i="13" a="1"/>
  <c r="D198" i="13" a="1"/>
  <c r="D84" i="13" a="1"/>
  <c r="D244" i="13" a="1"/>
  <c r="D30" i="13" a="1"/>
  <c r="D71" i="13" a="1"/>
  <c r="D162" i="13" a="1"/>
  <c r="D141" i="13" a="1"/>
  <c r="D224" i="13" a="1"/>
  <c r="D246" i="13" a="1"/>
  <c r="D87" i="13" a="1"/>
  <c r="D18" i="13" a="1"/>
  <c r="D115" i="13" a="1"/>
  <c r="D266" i="13" a="1"/>
  <c r="D202" i="13" a="1"/>
  <c r="D182" i="13" a="1"/>
  <c r="D177" i="13" a="1"/>
  <c r="D79" i="13" a="1"/>
  <c r="D150" i="13" a="1"/>
  <c r="D253" i="13" a="1"/>
  <c r="D68" i="13" a="1"/>
  <c r="D263" i="13" a="1"/>
  <c r="D116" i="13" a="1"/>
  <c r="D191" i="13" a="1"/>
  <c r="D165" i="13" a="1"/>
  <c r="D65" i="13" a="1"/>
  <c r="D122" i="13" a="1"/>
  <c r="D215" i="13" a="1"/>
  <c r="D153" i="13" a="1"/>
  <c r="D129" i="13" a="1"/>
  <c r="D7" i="13" a="1"/>
  <c r="D107" i="13" a="1"/>
  <c r="D44" i="13" a="1"/>
  <c r="D20" i="13" a="1"/>
  <c r="D88" i="13" a="1"/>
  <c r="D36" i="13" a="1"/>
  <c r="D237" i="13" a="1"/>
  <c r="D236" i="13" a="1"/>
  <c r="D82" i="13" a="1"/>
  <c r="D62" i="13" a="1"/>
  <c r="D161" i="13" a="1"/>
  <c r="D124" i="13" a="1"/>
  <c r="D156" i="13" a="1"/>
  <c r="D216" i="13" a="1"/>
  <c r="D164" i="13" a="1"/>
  <c r="D234" i="13" a="1"/>
  <c r="D113" i="13" a="1"/>
  <c r="D57" i="13" a="1"/>
  <c r="D158" i="13" a="1"/>
  <c r="D28" i="13" a="1"/>
  <c r="D192" i="13" a="1"/>
  <c r="D125" i="13" a="1"/>
  <c r="D72" i="13" a="1"/>
  <c r="D19" i="13" a="1"/>
  <c r="D152" i="13" a="1"/>
  <c r="D50" i="13" a="1"/>
  <c r="D169" i="13" a="1"/>
  <c r="D96" i="13" a="1"/>
  <c r="D220" i="13" a="1"/>
  <c r="D85" i="13" a="1"/>
  <c r="D167" i="13" a="1"/>
  <c r="D211" i="13" a="1"/>
  <c r="D38" i="13" a="1"/>
  <c r="D23" i="13" a="1"/>
  <c r="D257" i="13" a="1"/>
  <c r="D254" i="13" a="1"/>
  <c r="D34" i="13" a="1"/>
  <c r="D29" i="13" a="1"/>
  <c r="D81" i="13" a="1"/>
  <c r="D91" i="13" a="1"/>
  <c r="D256" i="13" a="1"/>
  <c r="D21" i="13" a="1"/>
  <c r="D243" i="13" a="1"/>
  <c r="D99" i="13" a="1"/>
  <c r="D135" i="13" a="1"/>
  <c r="D184" i="13" a="1"/>
  <c r="D265" i="13" a="1"/>
  <c r="D89" i="13" a="1"/>
  <c r="D226" i="13" a="1"/>
  <c r="D193" i="13" a="1"/>
  <c r="D55" i="13" a="1"/>
  <c r="D143" i="13" a="1"/>
  <c r="D238" i="13" a="1"/>
  <c r="D139" i="13" a="1"/>
  <c r="D227" i="13" a="1"/>
  <c r="D24" i="13" a="1"/>
  <c r="D189" i="13" a="1"/>
  <c r="D218" i="13" a="1"/>
  <c r="D142" i="13" a="1"/>
  <c r="D151" i="13" a="1"/>
  <c r="D123" i="13" a="1"/>
  <c r="D10" i="13" a="1"/>
  <c r="D208" i="13" a="1"/>
  <c r="D41" i="13" a="1"/>
  <c r="D26" i="13" a="1"/>
  <c r="D92" i="13" a="1"/>
  <c r="D157" i="13" a="1"/>
  <c r="C7" i="13"/>
  <c r="D173" i="13" a="1"/>
  <c r="D223" i="13" a="1"/>
  <c r="D149" i="13" a="1"/>
  <c r="D136" i="13" a="1"/>
  <c r="D225" i="13" a="1"/>
  <c r="D270" i="13" a="1"/>
  <c r="D58" i="13" a="1"/>
  <c r="D98" i="13" a="1"/>
  <c r="D70" i="13" a="1"/>
  <c r="D171" i="13" a="1"/>
  <c r="D66" i="13" a="1"/>
  <c r="D94" i="13" a="1"/>
  <c r="D197" i="13" a="1"/>
  <c r="D118" i="13" a="1"/>
  <c r="D205" i="13" a="1"/>
  <c r="D54" i="13" a="1"/>
  <c r="D46" i="13" a="1"/>
  <c r="D102" i="13" a="1"/>
  <c r="D138" i="13" a="1"/>
  <c r="D133" i="13" a="1"/>
  <c r="D111" i="13" a="1"/>
  <c r="D137" i="13" a="1"/>
  <c r="C8" i="13"/>
  <c r="D199" i="13" a="1"/>
  <c r="D109" i="13" a="1"/>
  <c r="D245" i="13" a="1"/>
  <c r="D104" i="13" a="1"/>
  <c r="D235" i="13" a="1"/>
  <c r="D110" i="13" a="1"/>
  <c r="D52" i="13" a="1"/>
  <c r="D73" i="13" a="1"/>
  <c r="D147" i="13" a="1"/>
  <c r="D259" i="13" a="1"/>
  <c r="D69" i="13" a="1"/>
  <c r="D11" i="13" a="1"/>
  <c r="D194" i="13" a="1"/>
  <c r="D100" i="13" a="1"/>
  <c r="D77" i="13" a="1"/>
  <c r="D31" i="13" a="1"/>
  <c r="D267" i="13" a="1"/>
  <c r="D200" i="13" a="1"/>
  <c r="D145" i="13" a="1"/>
  <c r="D179" i="13" a="1"/>
  <c r="D252" i="13" a="1"/>
  <c r="D174" i="13" a="1"/>
  <c r="D228" i="13" a="1"/>
  <c r="D203" i="13" a="1"/>
  <c r="D127" i="13" a="1"/>
  <c r="D233" i="13" a="1"/>
  <c r="D175" i="13" a="1"/>
  <c r="D178" i="13" a="1"/>
  <c r="D160" i="13" a="1"/>
  <c r="D255" i="13" a="1"/>
  <c r="D78" i="13" a="1"/>
  <c r="D103" i="13" a="1"/>
  <c r="D134" i="13" a="1"/>
  <c r="D47" i="13" a="1"/>
  <c r="D16" i="13" a="1"/>
  <c r="D232" i="13" a="1"/>
  <c r="D166" i="13" a="1"/>
  <c r="D105" i="13" a="1"/>
  <c r="D231" i="13" a="1"/>
  <c r="D250" i="13" a="1"/>
  <c r="D45" i="13" a="1"/>
  <c r="D39" i="13" a="1"/>
  <c r="D241" i="13" a="1"/>
  <c r="D128" i="13" a="1"/>
  <c r="D268" i="13" a="1"/>
  <c r="D119" i="13" a="1"/>
  <c r="D248" i="13" a="1"/>
  <c r="D249" i="13" a="1"/>
  <c r="D196" i="13" a="1"/>
  <c r="D207" i="13" a="1"/>
  <c r="D181" i="13" a="1"/>
  <c r="D12" i="13" a="1"/>
  <c r="D22" i="13" a="1"/>
  <c r="D262" i="13" a="1"/>
  <c r="D64" i="13" a="1"/>
  <c r="D130" i="13" a="1"/>
  <c r="D195" i="13" a="1"/>
  <c r="D206" i="13" a="1"/>
  <c r="D242" i="13" a="1"/>
  <c r="D9" i="13" a="1"/>
  <c r="D120" i="13" a="1"/>
  <c r="D132" i="13" a="1"/>
  <c r="D146" i="13" a="1"/>
  <c r="D51" i="13" a="1"/>
  <c r="D251" i="13" a="1"/>
  <c r="D97" i="13" a="1"/>
  <c r="D229" i="13" a="1"/>
  <c r="D93" i="13" a="1"/>
  <c r="D140" i="13" a="1"/>
  <c r="D42" i="13" a="1"/>
  <c r="D217" i="13" a="1"/>
  <c r="D172" i="13" a="1"/>
  <c r="D43" i="13" a="1"/>
  <c r="D60" i="13" a="1"/>
  <c r="D213" i="13" a="1"/>
  <c r="D25" i="13" a="1"/>
  <c r="D108" i="13" a="1"/>
  <c r="D168" i="13" a="1"/>
  <c r="D261" i="13" a="1"/>
  <c r="D247" i="13" a="1"/>
  <c r="D221" i="13" a="1"/>
  <c r="D264" i="13" a="1"/>
  <c r="D74" i="13" a="1"/>
  <c r="D86" i="13" a="1"/>
  <c r="D148" i="13" a="1"/>
  <c r="D186" i="13" a="1"/>
  <c r="D61" i="13" a="1"/>
  <c r="D222" i="13" a="1"/>
  <c r="D56" i="13" a="1"/>
  <c r="D154" i="13" a="1"/>
  <c r="D219" i="13" a="1"/>
  <c r="D17" i="13" a="1"/>
  <c r="D13" i="13" a="1"/>
  <c r="D239" i="13" a="1"/>
  <c r="D155" i="13" a="1"/>
  <c r="D240" i="13" a="1"/>
  <c r="D183" i="13" a="1"/>
  <c r="D15" i="13" a="1"/>
  <c r="D75" i="13" a="1"/>
  <c r="D176" i="13" a="1"/>
  <c r="D212" i="13" a="1"/>
  <c r="D163" i="13" a="1"/>
  <c r="D33" i="13" a="1"/>
  <c r="D53" i="13" a="1"/>
  <c r="D121" i="13" a="1"/>
  <c r="D231" i="13" l="1"/>
  <c r="D46" i="13"/>
  <c r="D151" i="13"/>
  <c r="D158" i="13"/>
  <c r="D238" i="13"/>
  <c r="D106" i="13"/>
  <c r="D113" i="13"/>
  <c r="D188" i="13"/>
  <c r="D34" i="13"/>
  <c r="D270" i="13"/>
  <c r="D178" i="13"/>
  <c r="D132" i="13"/>
  <c r="D48" i="13"/>
  <c r="D268" i="13"/>
  <c r="D219" i="13"/>
  <c r="D144" i="13"/>
  <c r="D59" i="13"/>
  <c r="D10" i="13"/>
  <c r="D50" i="13"/>
  <c r="D99" i="13"/>
  <c r="D228" i="13"/>
  <c r="D33" i="13"/>
  <c r="D191" i="13"/>
  <c r="D119" i="13"/>
  <c r="D267" i="13"/>
  <c r="D134" i="13"/>
  <c r="D12" i="13"/>
  <c r="D82" i="13"/>
  <c r="D243" i="13"/>
  <c r="D140" i="13"/>
  <c r="D116" i="13"/>
  <c r="D56" i="13"/>
  <c r="D167" i="13"/>
  <c r="D161" i="13"/>
  <c r="D13" i="13"/>
  <c r="D86" i="13"/>
  <c r="D237" i="13"/>
  <c r="D92" i="13"/>
  <c r="D101" i="13"/>
  <c r="D168" i="13"/>
  <c r="D112" i="13"/>
  <c r="D186" i="13"/>
  <c r="D227" i="13"/>
  <c r="D197" i="13"/>
  <c r="D131" i="13"/>
  <c r="D128" i="13"/>
  <c r="D75" i="13"/>
  <c r="D229" i="13"/>
  <c r="D77" i="13"/>
  <c r="D205" i="13"/>
  <c r="D40" i="13"/>
  <c r="D173" i="13"/>
  <c r="D264" i="13"/>
  <c r="D21" i="13"/>
  <c r="D18" i="13"/>
  <c r="D130" i="13"/>
  <c r="D61" i="13"/>
  <c r="D136" i="13"/>
  <c r="D114" i="13"/>
  <c r="D189" i="13"/>
  <c r="D202" i="13"/>
  <c r="D90" i="13"/>
  <c r="D160" i="13"/>
  <c r="D105" i="13"/>
  <c r="D25" i="13"/>
  <c r="D258" i="13"/>
  <c r="D143" i="13"/>
  <c r="D244" i="13"/>
  <c r="D145" i="13"/>
  <c r="D126" i="13"/>
  <c r="D254" i="13"/>
  <c r="D251" i="13"/>
  <c r="D175" i="13"/>
  <c r="D179" i="13"/>
  <c r="D95" i="13"/>
  <c r="D196" i="13"/>
  <c r="D88" i="13"/>
  <c r="D107" i="13"/>
  <c r="D63" i="13"/>
  <c r="D83" i="13"/>
  <c r="D152" i="13"/>
  <c r="D192" i="13"/>
  <c r="D28" i="13"/>
  <c r="D265" i="13"/>
  <c r="D247" i="13"/>
  <c r="D169" i="13"/>
  <c r="D176" i="13"/>
  <c r="D103" i="13"/>
  <c r="D8" i="13"/>
  <c r="D217" i="13"/>
  <c r="D239" i="13"/>
  <c r="D214" i="13"/>
  <c r="D115" i="13"/>
  <c r="D250" i="13"/>
  <c r="D44" i="13"/>
  <c r="D85" i="13"/>
  <c r="D194" i="13"/>
  <c r="D155" i="13"/>
  <c r="D122" i="13"/>
  <c r="D252" i="13"/>
  <c r="D198" i="13"/>
  <c r="D68" i="13"/>
  <c r="D263" i="13"/>
  <c r="D67" i="13"/>
  <c r="D153" i="13"/>
  <c r="D147" i="13"/>
  <c r="D172" i="13"/>
  <c r="D259" i="13"/>
  <c r="D241" i="13"/>
  <c r="D80" i="13"/>
  <c r="D87" i="13"/>
  <c r="D15" i="13"/>
  <c r="D60" i="13"/>
  <c r="D215" i="13"/>
  <c r="D120" i="13"/>
  <c r="D165" i="13"/>
  <c r="D256" i="13"/>
  <c r="D29" i="13"/>
  <c r="D209" i="13"/>
  <c r="D7" i="13"/>
  <c r="D162" i="13"/>
  <c r="D43" i="13"/>
  <c r="D181" i="13"/>
  <c r="D66" i="13"/>
  <c r="D14" i="13"/>
  <c r="D246" i="13"/>
  <c r="D166" i="13"/>
  <c r="D253" i="13"/>
  <c r="D22" i="13"/>
  <c r="D111" i="13"/>
  <c r="D55" i="13"/>
  <c r="D242" i="13"/>
  <c r="D212" i="13"/>
  <c r="D100" i="13"/>
  <c r="D257" i="13"/>
  <c r="D224" i="13"/>
  <c r="D233" i="13"/>
  <c r="D185" i="13"/>
  <c r="D249" i="13"/>
  <c r="D73" i="13"/>
  <c r="D76" i="13"/>
  <c r="D230" i="13"/>
  <c r="D123" i="13"/>
  <c r="D19" i="13"/>
  <c r="D223" i="13"/>
  <c r="D53" i="13"/>
  <c r="D184" i="13"/>
  <c r="D133" i="13"/>
  <c r="D64" i="13"/>
  <c r="D216" i="13"/>
  <c r="D78" i="13"/>
  <c r="D187" i="13"/>
  <c r="D218" i="13"/>
  <c r="D236" i="13"/>
  <c r="D260" i="13"/>
  <c r="D70" i="13"/>
  <c r="D164" i="13"/>
  <c r="D110" i="13"/>
  <c r="D220" i="13"/>
  <c r="D240" i="13"/>
  <c r="D171" i="13"/>
  <c r="D74" i="13"/>
  <c r="D57" i="13"/>
  <c r="D26" i="13"/>
  <c r="D245" i="13"/>
  <c r="D102" i="13"/>
  <c r="D27" i="13"/>
  <c r="D109" i="13"/>
  <c r="D207" i="13"/>
  <c r="D182" i="13"/>
  <c r="D17" i="13"/>
  <c r="D39" i="13"/>
  <c r="D47" i="13"/>
  <c r="D58" i="13"/>
  <c r="D124" i="13"/>
  <c r="D79" i="13"/>
  <c r="D139" i="13"/>
  <c r="D30" i="13"/>
  <c r="D137" i="13"/>
  <c r="D91" i="13"/>
  <c r="D52" i="13"/>
  <c r="D208" i="13"/>
  <c r="D104" i="13"/>
  <c r="D149" i="13"/>
  <c r="D159" i="13"/>
  <c r="D49" i="13"/>
  <c r="D42" i="13"/>
  <c r="D117" i="13"/>
  <c r="D150" i="13"/>
  <c r="D232" i="13"/>
  <c r="D54" i="13"/>
  <c r="D142" i="13"/>
  <c r="D121" i="13"/>
  <c r="D193" i="13"/>
  <c r="D157" i="13"/>
  <c r="D234" i="13"/>
  <c r="D211" i="13"/>
  <c r="D23" i="13"/>
  <c r="D225" i="13"/>
  <c r="D127" i="13"/>
  <c r="D89" i="13"/>
  <c r="D210" i="13"/>
  <c r="D248" i="13"/>
  <c r="D154" i="13"/>
  <c r="D190" i="13"/>
  <c r="D35" i="13"/>
  <c r="D262" i="13"/>
  <c r="D72" i="13"/>
  <c r="D206" i="13"/>
  <c r="D174" i="13"/>
  <c r="D135" i="13"/>
  <c r="D261" i="13"/>
  <c r="D138" i="13"/>
  <c r="D31" i="13"/>
  <c r="D255" i="13"/>
  <c r="D37" i="13"/>
  <c r="D11" i="13"/>
  <c r="D69" i="13"/>
  <c r="D204" i="13"/>
  <c r="D93" i="13"/>
  <c r="D141" i="13"/>
  <c r="D222" i="13"/>
  <c r="D96" i="13"/>
  <c r="D62" i="13"/>
  <c r="D199" i="13"/>
  <c r="D65" i="13"/>
  <c r="D163" i="13"/>
  <c r="D195" i="13"/>
  <c r="D156" i="13"/>
  <c r="D108" i="13"/>
  <c r="D201" i="13"/>
  <c r="D148" i="13"/>
  <c r="D177" i="13"/>
  <c r="D94" i="13"/>
  <c r="D36" i="13"/>
  <c r="D45" i="13"/>
  <c r="D98" i="13"/>
  <c r="D97" i="13"/>
  <c r="D183" i="13"/>
  <c r="D118" i="13"/>
  <c r="D71" i="13"/>
  <c r="D9" i="13"/>
  <c r="D221" i="13"/>
  <c r="D81" i="13"/>
  <c r="D235" i="13"/>
  <c r="D32" i="13"/>
  <c r="D129" i="13"/>
  <c r="D146" i="13"/>
  <c r="D170" i="13"/>
  <c r="D24" i="13"/>
  <c r="D266" i="13"/>
  <c r="D269" i="13"/>
  <c r="D41" i="13"/>
  <c r="D16" i="13"/>
  <c r="D213" i="13"/>
  <c r="D180" i="13"/>
  <c r="D125" i="13"/>
  <c r="D226" i="13"/>
  <c r="D84" i="13"/>
  <c r="D200" i="13"/>
  <c r="D20" i="13"/>
  <c r="D38" i="13"/>
  <c r="D51" i="13"/>
  <c r="D203" i="13"/>
  <c r="E2" i="13" l="1"/>
  <c r="E11" i="13"/>
  <c r="F10" i="13"/>
  <c r="G8" i="13"/>
  <c r="G9" i="13"/>
  <c r="E15" i="13"/>
  <c r="F11" i="13"/>
  <c r="F15" i="13"/>
  <c r="K13" i="13"/>
  <c r="H9" i="13"/>
  <c r="J12" i="13"/>
  <c r="K9" i="13"/>
  <c r="I10" i="13"/>
  <c r="I8" i="13"/>
  <c r="E9" i="13"/>
  <c r="J15" i="13"/>
  <c r="J8" i="13"/>
  <c r="E10" i="13"/>
  <c r="F14" i="13"/>
  <c r="K11" i="13"/>
  <c r="I7" i="13"/>
  <c r="H7" i="13"/>
  <c r="H8" i="13"/>
  <c r="G15" i="13"/>
  <c r="H14" i="13"/>
  <c r="J13" i="13"/>
  <c r="G14" i="13"/>
  <c r="J9" i="13"/>
  <c r="I14" i="13"/>
  <c r="H13" i="13"/>
  <c r="E13" i="13"/>
  <c r="J10" i="13"/>
  <c r="F13" i="13"/>
  <c r="G12" i="13"/>
  <c r="E12" i="13"/>
  <c r="G10" i="13"/>
  <c r="F9" i="13"/>
  <c r="K8" i="13"/>
  <c r="H11" i="13"/>
  <c r="J14" i="13"/>
  <c r="K10" i="13"/>
  <c r="E14" i="13"/>
  <c r="F7" i="13"/>
  <c r="E8" i="13"/>
  <c r="G13" i="13"/>
  <c r="E7" i="13"/>
  <c r="K15" i="13"/>
  <c r="F8" i="13"/>
  <c r="K7" i="13"/>
  <c r="I12" i="13"/>
  <c r="F12" i="13"/>
  <c r="J7" i="13"/>
  <c r="I9" i="13"/>
  <c r="K14" i="13"/>
  <c r="J11" i="13"/>
  <c r="I11" i="13"/>
  <c r="H15" i="13"/>
  <c r="K12" i="13"/>
  <c r="I13" i="13"/>
  <c r="I15" i="13"/>
  <c r="H10" i="13"/>
  <c r="G11" i="13"/>
  <c r="G7" i="13"/>
  <c r="H12" i="13"/>
</calcChain>
</file>

<file path=xl/comments1.xml><?xml version="1.0" encoding="utf-8"?>
<comments xmlns="http://schemas.openxmlformats.org/spreadsheetml/2006/main">
  <authors>
    <author>Kostis Anagnostopoulos</author>
  </authors>
  <commentList>
    <comment ref="B2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Use this column to print values 
(see python-code in cell 'A4')</t>
        </r>
      </text>
    </comment>
    <comment ref="A3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  <comment ref="A4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  <comment ref="A5" authorId="0">
      <text>
        <r>
          <rPr>
            <b/>
            <sz val="9"/>
            <color indexed="81"/>
            <rFont val="Tahoma"/>
            <family val="2"/>
          </rPr>
          <t>Kostis Anagnostopoulos:</t>
        </r>
        <r>
          <rPr>
            <sz val="9"/>
            <color indexed="81"/>
            <rFont val="Tahoma"/>
            <family val="2"/>
          </rPr>
          <t xml:space="preserve">
Select all cells with python-code and click the button above.</t>
        </r>
      </text>
    </comment>
  </commentList>
</comments>
</file>

<file path=xl/sharedStrings.xml><?xml version="1.0" encoding="utf-8"?>
<sst xmlns="http://schemas.openxmlformats.org/spreadsheetml/2006/main" count="66" uniqueCount="48">
  <si>
    <t>id</t>
  </si>
  <si>
    <t>Debug-print</t>
  </si>
  <si>
    <t>exp_pairs = mypy.build_models(vehs_df)</t>
  </si>
  <si>
    <t>exp_pairs = mypy.run_experiments(exp_pairs)</t>
  </si>
  <si>
    <t>diesel</t>
  </si>
  <si>
    <t>petrol</t>
  </si>
  <si>
    <t>/engine/fuel</t>
  </si>
  <si>
    <t>/engine/p_max</t>
  </si>
  <si>
    <t>/engine/stroke</t>
  </si>
  <si>
    <t>/engine/capacity</t>
  </si>
  <si>
    <t>Vehicle2_Petrol_EU5</t>
  </si>
  <si>
    <t>fc</t>
  </si>
  <si>
    <t>/engine/n_idle</t>
  </si>
  <si>
    <t>/engine/n_rated</t>
  </si>
  <si>
    <t>/measured_eng_points</t>
  </si>
  <si>
    <t>vehs_df = mypy.read_input_as_df('D2')</t>
  </si>
  <si>
    <t xml:space="preserve">For help visit: </t>
  </si>
  <si>
    <t>http://fuefit.readthedocs.org/en/stable/usage.html#excel-usage</t>
  </si>
  <si>
    <t>import fuefit</t>
  </si>
  <si>
    <t>Range('B4').value = 'fuefit-%s, %s'% (fuefit.__version__, fuefit.__updated__)</t>
  </si>
  <si>
    <t>n</t>
  </si>
  <si>
    <t>p</t>
  </si>
  <si>
    <t>False</t>
  </si>
  <si>
    <t>fuefit-0.0.5-alpha.2, 2014-11-11 02:30:30</t>
  </si>
  <si>
    <t>a</t>
  </si>
  <si>
    <t>b</t>
  </si>
  <si>
    <t>c</t>
  </si>
  <si>
    <t>Sheets including the sheet on which this list is being generated</t>
  </si>
  <si>
    <t>Sheets excluding the sheet on which this list is being generated</t>
  </si>
  <si>
    <t>d</t>
  </si>
  <si>
    <t>e</t>
  </si>
  <si>
    <t>f</t>
  </si>
  <si>
    <t>g</t>
  </si>
  <si>
    <t>/engine/fuel_lhv</t>
  </si>
  <si>
    <t>/params/fitting/coeffs/loss2/max</t>
  </si>
  <si>
    <t>Results Parameters</t>
  </si>
  <si>
    <t>engine 1</t>
  </si>
  <si>
    <t>engine 2</t>
  </si>
  <si>
    <t>engine 3</t>
  </si>
  <si>
    <t>engine 4</t>
  </si>
  <si>
    <t>@engine1!A3.table(header=True)</t>
  </si>
  <si>
    <t>@engine2!A3.table(header=True)</t>
  </si>
  <si>
    <t>@engine3!A3.table(header=True)</t>
  </si>
  <si>
    <t>@engine4!A3.table(header=True)</t>
  </si>
  <si>
    <t>/params/fitting/coeffs/b2/value</t>
  </si>
  <si>
    <t>/params/fitting/coeffs/b2/vary</t>
  </si>
  <si>
    <t>&lt;--Select and click to run</t>
  </si>
  <si>
    <t>/params/fitting/is_robust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</si>
</sst>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3" formatCode="_-* #,##0.00_-;\-* #,##0.00_-;_-* &quot;-&quot;??_-;_-@_-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u/>
      <sz val="12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rgb="FF000000"/>
      <name val="Calibri"/>
      <family val="2"/>
    </font>
    <font>
      <b/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1"/>
      <color theme="1"/>
      <name val="verdana"/>
      <family val="2"/>
    </font>
    <font>
      <b/>
      <sz val="11"/>
      <color theme="1"/>
      <name val="verdana"/>
      <family val="2"/>
    </font>
  </fonts>
  <fills count="18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79998168889431442"/>
        <bgColor indexed="64"/>
      </patternFill>
    </fill>
  </fills>
  <borders count="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auto="1"/>
      </bottom>
      <diagonal/>
    </border>
  </borders>
  <cellStyleXfs count="473">
    <xf numFmtId="0" fontId="0" fillId="0" borderId="0"/>
    <xf numFmtId="0" fontId="10" fillId="0" borderId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4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6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8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0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2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14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5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7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9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1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3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0" fontId="9" fillId="15" borderId="0" applyNumberFormat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43" fontId="10" fillId="0" borderId="0" applyFont="0" applyFill="0" applyBorder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3" borderId="1" applyNumberFormat="0" applyFont="0" applyAlignment="0" applyProtection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11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12" fillId="0" borderId="0"/>
  </cellStyleXfs>
  <cellXfs count="21">
    <xf numFmtId="0" fontId="0" fillId="0" borderId="0" xfId="0"/>
    <xf numFmtId="0" fontId="1" fillId="0" borderId="0" xfId="0" applyFont="1"/>
    <xf numFmtId="0" fontId="2" fillId="0" borderId="0" xfId="0" applyFont="1"/>
    <xf numFmtId="0" fontId="2" fillId="0" borderId="0" xfId="0" quotePrefix="1" applyFont="1"/>
    <xf numFmtId="0" fontId="3" fillId="0" borderId="0" xfId="0" applyFont="1"/>
    <xf numFmtId="0" fontId="3" fillId="0" borderId="0" xfId="0" applyFont="1" applyAlignment="1">
      <alignment wrapText="1"/>
    </xf>
    <xf numFmtId="0" fontId="4" fillId="0" borderId="0" xfId="0" applyFont="1"/>
    <xf numFmtId="0" fontId="2" fillId="2" borderId="0" xfId="0" applyFont="1" applyFill="1" applyAlignment="1">
      <alignment vertical="center" wrapText="1"/>
    </xf>
    <xf numFmtId="0" fontId="2" fillId="2" borderId="0" xfId="0" quotePrefix="1" applyFont="1" applyFill="1" applyAlignment="1">
      <alignment vertical="center" wrapText="1"/>
    </xf>
    <xf numFmtId="0" fontId="8" fillId="2" borderId="0" xfId="0" applyFont="1" applyFill="1" applyAlignment="1">
      <alignment vertical="center" wrapText="1"/>
    </xf>
    <xf numFmtId="0" fontId="8" fillId="0" borderId="0" xfId="0" applyFont="1"/>
    <xf numFmtId="0" fontId="0" fillId="0" borderId="0" xfId="0" quotePrefix="1"/>
    <xf numFmtId="0" fontId="0" fillId="16" borderId="0" xfId="0" applyFill="1"/>
    <xf numFmtId="0" fontId="11" fillId="16" borderId="0" xfId="470" applyFill="1"/>
    <xf numFmtId="0" fontId="0" fillId="16" borderId="0" xfId="0" applyFont="1" applyFill="1"/>
    <xf numFmtId="0" fontId="0" fillId="0" borderId="0" xfId="0" applyFill="1"/>
    <xf numFmtId="0" fontId="13" fillId="0" borderId="2" xfId="472" applyFont="1" applyBorder="1" applyAlignment="1">
      <alignment wrapText="1"/>
    </xf>
    <xf numFmtId="0" fontId="12" fillId="0" borderId="0" xfId="472"/>
    <xf numFmtId="0" fontId="12" fillId="17" borderId="0" xfId="472" applyFill="1"/>
    <xf numFmtId="9" fontId="12" fillId="17" borderId="0" xfId="471" applyFont="1" applyFill="1"/>
    <xf numFmtId="9" fontId="12" fillId="0" borderId="0" xfId="471" applyFont="1"/>
  </cellXfs>
  <cellStyles count="473">
    <cellStyle name="20 % - Akzent1 10" xfId="2"/>
    <cellStyle name="20 % - Akzent1 10 2" xfId="3"/>
    <cellStyle name="20 % - Akzent1 11" xfId="4"/>
    <cellStyle name="20 % - Akzent1 11 2" xfId="5"/>
    <cellStyle name="20 % - Akzent1 12" xfId="6"/>
    <cellStyle name="20 % - Akzent1 13" xfId="7"/>
    <cellStyle name="20 % - Akzent1 14" xfId="8"/>
    <cellStyle name="20 % - Akzent1 2" xfId="9"/>
    <cellStyle name="20 % - Akzent1 2 2" xfId="10"/>
    <cellStyle name="20 % - Akzent1 2 3" xfId="11"/>
    <cellStyle name="20 % - Akzent1 2 4" xfId="12"/>
    <cellStyle name="20 % - Akzent1 3" xfId="13"/>
    <cellStyle name="20 % - Akzent1 3 2" xfId="14"/>
    <cellStyle name="20 % - Akzent1 3 3" xfId="15"/>
    <cellStyle name="20 % - Akzent1 3 4" xfId="16"/>
    <cellStyle name="20 % - Akzent1 4" xfId="17"/>
    <cellStyle name="20 % - Akzent1 4 2" xfId="18"/>
    <cellStyle name="20 % - Akzent1 4 3" xfId="19"/>
    <cellStyle name="20 % - Akzent1 4 4" xfId="20"/>
    <cellStyle name="20 % - Akzent1 5" xfId="21"/>
    <cellStyle name="20 % - Akzent1 5 2" xfId="22"/>
    <cellStyle name="20 % - Akzent1 5 3" xfId="23"/>
    <cellStyle name="20 % - Akzent1 5 4" xfId="24"/>
    <cellStyle name="20 % - Akzent1 6" xfId="25"/>
    <cellStyle name="20 % - Akzent1 6 2" xfId="26"/>
    <cellStyle name="20 % - Akzent1 6 3" xfId="27"/>
    <cellStyle name="20 % - Akzent1 6 4" xfId="28"/>
    <cellStyle name="20 % - Akzent1 7" xfId="29"/>
    <cellStyle name="20 % - Akzent1 7 2" xfId="30"/>
    <cellStyle name="20 % - Akzent1 8" xfId="31"/>
    <cellStyle name="20 % - Akzent1 8 2" xfId="32"/>
    <cellStyle name="20 % - Akzent1 9" xfId="33"/>
    <cellStyle name="20 % - Akzent1 9 2" xfId="34"/>
    <cellStyle name="20 % - Akzent2 10" xfId="35"/>
    <cellStyle name="20 % - Akzent2 10 2" xfId="36"/>
    <cellStyle name="20 % - Akzent2 11" xfId="37"/>
    <cellStyle name="20 % - Akzent2 11 2" xfId="38"/>
    <cellStyle name="20 % - Akzent2 12" xfId="39"/>
    <cellStyle name="20 % - Akzent2 13" xfId="40"/>
    <cellStyle name="20 % - Akzent2 14" xfId="41"/>
    <cellStyle name="20 % - Akzent2 2" xfId="42"/>
    <cellStyle name="20 % - Akzent2 2 2" xfId="43"/>
    <cellStyle name="20 % - Akzent2 2 3" xfId="44"/>
    <cellStyle name="20 % - Akzent2 2 4" xfId="45"/>
    <cellStyle name="20 % - Akzent2 3" xfId="46"/>
    <cellStyle name="20 % - Akzent2 3 2" xfId="47"/>
    <cellStyle name="20 % - Akzent2 3 3" xfId="48"/>
    <cellStyle name="20 % - Akzent2 3 4" xfId="49"/>
    <cellStyle name="20 % - Akzent2 4" xfId="50"/>
    <cellStyle name="20 % - Akzent2 4 2" xfId="51"/>
    <cellStyle name="20 % - Akzent2 4 3" xfId="52"/>
    <cellStyle name="20 % - Akzent2 4 4" xfId="53"/>
    <cellStyle name="20 % - Akzent2 5" xfId="54"/>
    <cellStyle name="20 % - Akzent2 5 2" xfId="55"/>
    <cellStyle name="20 % - Akzent2 5 3" xfId="56"/>
    <cellStyle name="20 % - Akzent2 5 4" xfId="57"/>
    <cellStyle name="20 % - Akzent2 6" xfId="58"/>
    <cellStyle name="20 % - Akzent2 6 2" xfId="59"/>
    <cellStyle name="20 % - Akzent2 6 3" xfId="60"/>
    <cellStyle name="20 % - Akzent2 6 4" xfId="61"/>
    <cellStyle name="20 % - Akzent2 7" xfId="62"/>
    <cellStyle name="20 % - Akzent2 7 2" xfId="63"/>
    <cellStyle name="20 % - Akzent2 8" xfId="64"/>
    <cellStyle name="20 % - Akzent2 8 2" xfId="65"/>
    <cellStyle name="20 % - Akzent2 9" xfId="66"/>
    <cellStyle name="20 % - Akzent2 9 2" xfId="67"/>
    <cellStyle name="20 % - Akzent3 10" xfId="68"/>
    <cellStyle name="20 % - Akzent3 10 2" xfId="69"/>
    <cellStyle name="20 % - Akzent3 11" xfId="70"/>
    <cellStyle name="20 % - Akzent3 11 2" xfId="71"/>
    <cellStyle name="20 % - Akzent3 12" xfId="72"/>
    <cellStyle name="20 % - Akzent3 13" xfId="73"/>
    <cellStyle name="20 % - Akzent3 14" xfId="74"/>
    <cellStyle name="20 % - Akzent3 2" xfId="75"/>
    <cellStyle name="20 % - Akzent3 2 2" xfId="76"/>
    <cellStyle name="20 % - Akzent3 2 3" xfId="77"/>
    <cellStyle name="20 % - Akzent3 2 4" xfId="78"/>
    <cellStyle name="20 % - Akzent3 3" xfId="79"/>
    <cellStyle name="20 % - Akzent3 3 2" xfId="80"/>
    <cellStyle name="20 % - Akzent3 3 3" xfId="81"/>
    <cellStyle name="20 % - Akzent3 3 4" xfId="82"/>
    <cellStyle name="20 % - Akzent3 4" xfId="83"/>
    <cellStyle name="20 % - Akzent3 4 2" xfId="84"/>
    <cellStyle name="20 % - Akzent3 4 3" xfId="85"/>
    <cellStyle name="20 % - Akzent3 4 4" xfId="86"/>
    <cellStyle name="20 % - Akzent3 5" xfId="87"/>
    <cellStyle name="20 % - Akzent3 5 2" xfId="88"/>
    <cellStyle name="20 % - Akzent3 5 3" xfId="89"/>
    <cellStyle name="20 % - Akzent3 5 4" xfId="90"/>
    <cellStyle name="20 % - Akzent3 6" xfId="91"/>
    <cellStyle name="20 % - Akzent3 6 2" xfId="92"/>
    <cellStyle name="20 % - Akzent3 6 3" xfId="93"/>
    <cellStyle name="20 % - Akzent3 6 4" xfId="94"/>
    <cellStyle name="20 % - Akzent3 7" xfId="95"/>
    <cellStyle name="20 % - Akzent3 7 2" xfId="96"/>
    <cellStyle name="20 % - Akzent3 8" xfId="97"/>
    <cellStyle name="20 % - Akzent3 8 2" xfId="98"/>
    <cellStyle name="20 % - Akzent3 9" xfId="99"/>
    <cellStyle name="20 % - Akzent3 9 2" xfId="100"/>
    <cellStyle name="20 % - Akzent4 10" xfId="101"/>
    <cellStyle name="20 % - Akzent4 10 2" xfId="102"/>
    <cellStyle name="20 % - Akzent4 11" xfId="103"/>
    <cellStyle name="20 % - Akzent4 11 2" xfId="104"/>
    <cellStyle name="20 % - Akzent4 12" xfId="105"/>
    <cellStyle name="20 % - Akzent4 13" xfId="106"/>
    <cellStyle name="20 % - Akzent4 14" xfId="107"/>
    <cellStyle name="20 % - Akzent4 2" xfId="108"/>
    <cellStyle name="20 % - Akzent4 2 2" xfId="109"/>
    <cellStyle name="20 % - Akzent4 2 3" xfId="110"/>
    <cellStyle name="20 % - Akzent4 2 4" xfId="111"/>
    <cellStyle name="20 % - Akzent4 3" xfId="112"/>
    <cellStyle name="20 % - Akzent4 3 2" xfId="113"/>
    <cellStyle name="20 % - Akzent4 3 3" xfId="114"/>
    <cellStyle name="20 % - Akzent4 3 4" xfId="115"/>
    <cellStyle name="20 % - Akzent4 4" xfId="116"/>
    <cellStyle name="20 % - Akzent4 4 2" xfId="117"/>
    <cellStyle name="20 % - Akzent4 4 3" xfId="118"/>
    <cellStyle name="20 % - Akzent4 4 4" xfId="119"/>
    <cellStyle name="20 % - Akzent4 5" xfId="120"/>
    <cellStyle name="20 % - Akzent4 5 2" xfId="121"/>
    <cellStyle name="20 % - Akzent4 5 3" xfId="122"/>
    <cellStyle name="20 % - Akzent4 5 4" xfId="123"/>
    <cellStyle name="20 % - Akzent4 6" xfId="124"/>
    <cellStyle name="20 % - Akzent4 6 2" xfId="125"/>
    <cellStyle name="20 % - Akzent4 6 3" xfId="126"/>
    <cellStyle name="20 % - Akzent4 6 4" xfId="127"/>
    <cellStyle name="20 % - Akzent4 7" xfId="128"/>
    <cellStyle name="20 % - Akzent4 7 2" xfId="129"/>
    <cellStyle name="20 % - Akzent4 8" xfId="130"/>
    <cellStyle name="20 % - Akzent4 8 2" xfId="131"/>
    <cellStyle name="20 % - Akzent4 9" xfId="132"/>
    <cellStyle name="20 % - Akzent4 9 2" xfId="133"/>
    <cellStyle name="20 % - Akzent5 10" xfId="134"/>
    <cellStyle name="20 % - Akzent5 10 2" xfId="135"/>
    <cellStyle name="20 % - Akzent5 11" xfId="136"/>
    <cellStyle name="20 % - Akzent5 11 2" xfId="137"/>
    <cellStyle name="20 % - Akzent5 12" xfId="138"/>
    <cellStyle name="20 % - Akzent5 13" xfId="139"/>
    <cellStyle name="20 % - Akzent5 14" xfId="140"/>
    <cellStyle name="20 % - Akzent5 2" xfId="141"/>
    <cellStyle name="20 % - Akzent5 2 2" xfId="142"/>
    <cellStyle name="20 % - Akzent5 2 3" xfId="143"/>
    <cellStyle name="20 % - Akzent5 2 4" xfId="144"/>
    <cellStyle name="20 % - Akzent5 3" xfId="145"/>
    <cellStyle name="20 % - Akzent5 3 2" xfId="146"/>
    <cellStyle name="20 % - Akzent5 3 3" xfId="147"/>
    <cellStyle name="20 % - Akzent5 3 4" xfId="148"/>
    <cellStyle name="20 % - Akzent5 4" xfId="149"/>
    <cellStyle name="20 % - Akzent5 4 2" xfId="150"/>
    <cellStyle name="20 % - Akzent5 4 3" xfId="151"/>
    <cellStyle name="20 % - Akzent5 4 4" xfId="152"/>
    <cellStyle name="20 % - Akzent5 5" xfId="153"/>
    <cellStyle name="20 % - Akzent5 5 2" xfId="154"/>
    <cellStyle name="20 % - Akzent5 5 3" xfId="155"/>
    <cellStyle name="20 % - Akzent5 5 4" xfId="156"/>
    <cellStyle name="20 % - Akzent5 6" xfId="157"/>
    <cellStyle name="20 % - Akzent5 6 2" xfId="158"/>
    <cellStyle name="20 % - Akzent5 6 3" xfId="159"/>
    <cellStyle name="20 % - Akzent5 6 4" xfId="160"/>
    <cellStyle name="20 % - Akzent5 7" xfId="161"/>
    <cellStyle name="20 % - Akzent5 7 2" xfId="162"/>
    <cellStyle name="20 % - Akzent5 8" xfId="163"/>
    <cellStyle name="20 % - Akzent5 8 2" xfId="164"/>
    <cellStyle name="20 % - Akzent5 9" xfId="165"/>
    <cellStyle name="20 % - Akzent5 9 2" xfId="166"/>
    <cellStyle name="20 % - Akzent6 10" xfId="167"/>
    <cellStyle name="20 % - Akzent6 10 2" xfId="168"/>
    <cellStyle name="20 % - Akzent6 11" xfId="169"/>
    <cellStyle name="20 % - Akzent6 11 2" xfId="170"/>
    <cellStyle name="20 % - Akzent6 12" xfId="171"/>
    <cellStyle name="20 % - Akzent6 13" xfId="172"/>
    <cellStyle name="20 % - Akzent6 14" xfId="173"/>
    <cellStyle name="20 % - Akzent6 2" xfId="174"/>
    <cellStyle name="20 % - Akzent6 2 2" xfId="175"/>
    <cellStyle name="20 % - Akzent6 2 3" xfId="176"/>
    <cellStyle name="20 % - Akzent6 2 4" xfId="177"/>
    <cellStyle name="20 % - Akzent6 3" xfId="178"/>
    <cellStyle name="20 % - Akzent6 3 2" xfId="179"/>
    <cellStyle name="20 % - Akzent6 3 3" xfId="180"/>
    <cellStyle name="20 % - Akzent6 3 4" xfId="181"/>
    <cellStyle name="20 % - Akzent6 4" xfId="182"/>
    <cellStyle name="20 % - Akzent6 4 2" xfId="183"/>
    <cellStyle name="20 % - Akzent6 4 3" xfId="184"/>
    <cellStyle name="20 % - Akzent6 4 4" xfId="185"/>
    <cellStyle name="20 % - Akzent6 5" xfId="186"/>
    <cellStyle name="20 % - Akzent6 5 2" xfId="187"/>
    <cellStyle name="20 % - Akzent6 5 3" xfId="188"/>
    <cellStyle name="20 % - Akzent6 5 4" xfId="189"/>
    <cellStyle name="20 % - Akzent6 6" xfId="190"/>
    <cellStyle name="20 % - Akzent6 6 2" xfId="191"/>
    <cellStyle name="20 % - Akzent6 6 3" xfId="192"/>
    <cellStyle name="20 % - Akzent6 6 4" xfId="193"/>
    <cellStyle name="20 % - Akzent6 7" xfId="194"/>
    <cellStyle name="20 % - Akzent6 7 2" xfId="195"/>
    <cellStyle name="20 % - Akzent6 8" xfId="196"/>
    <cellStyle name="20 % - Akzent6 8 2" xfId="197"/>
    <cellStyle name="20 % - Akzent6 9" xfId="198"/>
    <cellStyle name="20 % - Akzent6 9 2" xfId="199"/>
    <cellStyle name="40 % - Akzent1 10" xfId="200"/>
    <cellStyle name="40 % - Akzent1 10 2" xfId="201"/>
    <cellStyle name="40 % - Akzent1 11" xfId="202"/>
    <cellStyle name="40 % - Akzent1 11 2" xfId="203"/>
    <cellStyle name="40 % - Akzent1 12" xfId="204"/>
    <cellStyle name="40 % - Akzent1 13" xfId="205"/>
    <cellStyle name="40 % - Akzent1 14" xfId="206"/>
    <cellStyle name="40 % - Akzent1 2" xfId="207"/>
    <cellStyle name="40 % - Akzent1 2 2" xfId="208"/>
    <cellStyle name="40 % - Akzent1 2 3" xfId="209"/>
    <cellStyle name="40 % - Akzent1 2 4" xfId="210"/>
    <cellStyle name="40 % - Akzent1 3" xfId="211"/>
    <cellStyle name="40 % - Akzent1 3 2" xfId="212"/>
    <cellStyle name="40 % - Akzent1 3 3" xfId="213"/>
    <cellStyle name="40 % - Akzent1 3 4" xfId="214"/>
    <cellStyle name="40 % - Akzent1 4" xfId="215"/>
    <cellStyle name="40 % - Akzent1 4 2" xfId="216"/>
    <cellStyle name="40 % - Akzent1 4 3" xfId="217"/>
    <cellStyle name="40 % - Akzent1 4 4" xfId="218"/>
    <cellStyle name="40 % - Akzent1 5" xfId="219"/>
    <cellStyle name="40 % - Akzent1 5 2" xfId="220"/>
    <cellStyle name="40 % - Akzent1 5 3" xfId="221"/>
    <cellStyle name="40 % - Akzent1 5 4" xfId="222"/>
    <cellStyle name="40 % - Akzent1 6" xfId="223"/>
    <cellStyle name="40 % - Akzent1 6 2" xfId="224"/>
    <cellStyle name="40 % - Akzent1 6 3" xfId="225"/>
    <cellStyle name="40 % - Akzent1 6 4" xfId="226"/>
    <cellStyle name="40 % - Akzent1 7" xfId="227"/>
    <cellStyle name="40 % - Akzent1 7 2" xfId="228"/>
    <cellStyle name="40 % - Akzent1 8" xfId="229"/>
    <cellStyle name="40 % - Akzent1 8 2" xfId="230"/>
    <cellStyle name="40 % - Akzent1 9" xfId="231"/>
    <cellStyle name="40 % - Akzent1 9 2" xfId="232"/>
    <cellStyle name="40 % - Akzent2 10" xfId="233"/>
    <cellStyle name="40 % - Akzent2 10 2" xfId="234"/>
    <cellStyle name="40 % - Akzent2 11" xfId="235"/>
    <cellStyle name="40 % - Akzent2 11 2" xfId="236"/>
    <cellStyle name="40 % - Akzent2 12" xfId="237"/>
    <cellStyle name="40 % - Akzent2 13" xfId="238"/>
    <cellStyle name="40 % - Akzent2 14" xfId="239"/>
    <cellStyle name="40 % - Akzent2 2" xfId="240"/>
    <cellStyle name="40 % - Akzent2 2 2" xfId="241"/>
    <cellStyle name="40 % - Akzent2 2 3" xfId="242"/>
    <cellStyle name="40 % - Akzent2 2 4" xfId="243"/>
    <cellStyle name="40 % - Akzent2 3" xfId="244"/>
    <cellStyle name="40 % - Akzent2 3 2" xfId="245"/>
    <cellStyle name="40 % - Akzent2 3 3" xfId="246"/>
    <cellStyle name="40 % - Akzent2 3 4" xfId="247"/>
    <cellStyle name="40 % - Akzent2 4" xfId="248"/>
    <cellStyle name="40 % - Akzent2 4 2" xfId="249"/>
    <cellStyle name="40 % - Akzent2 4 3" xfId="250"/>
    <cellStyle name="40 % - Akzent2 4 4" xfId="251"/>
    <cellStyle name="40 % - Akzent2 5" xfId="252"/>
    <cellStyle name="40 % - Akzent2 5 2" xfId="253"/>
    <cellStyle name="40 % - Akzent2 5 3" xfId="254"/>
    <cellStyle name="40 % - Akzent2 5 4" xfId="255"/>
    <cellStyle name="40 % - Akzent2 6" xfId="256"/>
    <cellStyle name="40 % - Akzent2 6 2" xfId="257"/>
    <cellStyle name="40 % - Akzent2 6 3" xfId="258"/>
    <cellStyle name="40 % - Akzent2 6 4" xfId="259"/>
    <cellStyle name="40 % - Akzent2 7" xfId="260"/>
    <cellStyle name="40 % - Akzent2 7 2" xfId="261"/>
    <cellStyle name="40 % - Akzent2 8" xfId="262"/>
    <cellStyle name="40 % - Akzent2 8 2" xfId="263"/>
    <cellStyle name="40 % - Akzent2 9" xfId="264"/>
    <cellStyle name="40 % - Akzent2 9 2" xfId="265"/>
    <cellStyle name="40 % - Akzent3 10" xfId="266"/>
    <cellStyle name="40 % - Akzent3 10 2" xfId="267"/>
    <cellStyle name="40 % - Akzent3 11" xfId="268"/>
    <cellStyle name="40 % - Akzent3 11 2" xfId="269"/>
    <cellStyle name="40 % - Akzent3 12" xfId="270"/>
    <cellStyle name="40 % - Akzent3 13" xfId="271"/>
    <cellStyle name="40 % - Akzent3 14" xfId="272"/>
    <cellStyle name="40 % - Akzent3 2" xfId="273"/>
    <cellStyle name="40 % - Akzent3 2 2" xfId="274"/>
    <cellStyle name="40 % - Akzent3 2 3" xfId="275"/>
    <cellStyle name="40 % - Akzent3 2 4" xfId="276"/>
    <cellStyle name="40 % - Akzent3 3" xfId="277"/>
    <cellStyle name="40 % - Akzent3 3 2" xfId="278"/>
    <cellStyle name="40 % - Akzent3 3 3" xfId="279"/>
    <cellStyle name="40 % - Akzent3 3 4" xfId="280"/>
    <cellStyle name="40 % - Akzent3 4" xfId="281"/>
    <cellStyle name="40 % - Akzent3 4 2" xfId="282"/>
    <cellStyle name="40 % - Akzent3 4 3" xfId="283"/>
    <cellStyle name="40 % - Akzent3 4 4" xfId="284"/>
    <cellStyle name="40 % - Akzent3 5" xfId="285"/>
    <cellStyle name="40 % - Akzent3 5 2" xfId="286"/>
    <cellStyle name="40 % - Akzent3 5 3" xfId="287"/>
    <cellStyle name="40 % - Akzent3 5 4" xfId="288"/>
    <cellStyle name="40 % - Akzent3 6" xfId="289"/>
    <cellStyle name="40 % - Akzent3 6 2" xfId="290"/>
    <cellStyle name="40 % - Akzent3 6 3" xfId="291"/>
    <cellStyle name="40 % - Akzent3 6 4" xfId="292"/>
    <cellStyle name="40 % - Akzent3 7" xfId="293"/>
    <cellStyle name="40 % - Akzent3 7 2" xfId="294"/>
    <cellStyle name="40 % - Akzent3 8" xfId="295"/>
    <cellStyle name="40 % - Akzent3 8 2" xfId="296"/>
    <cellStyle name="40 % - Akzent3 9" xfId="297"/>
    <cellStyle name="40 % - Akzent3 9 2" xfId="298"/>
    <cellStyle name="40 % - Akzent4 10" xfId="299"/>
    <cellStyle name="40 % - Akzent4 10 2" xfId="300"/>
    <cellStyle name="40 % - Akzent4 11" xfId="301"/>
    <cellStyle name="40 % - Akzent4 11 2" xfId="302"/>
    <cellStyle name="40 % - Akzent4 12" xfId="303"/>
    <cellStyle name="40 % - Akzent4 13" xfId="304"/>
    <cellStyle name="40 % - Akzent4 14" xfId="305"/>
    <cellStyle name="40 % - Akzent4 2" xfId="306"/>
    <cellStyle name="40 % - Akzent4 2 2" xfId="307"/>
    <cellStyle name="40 % - Akzent4 2 3" xfId="308"/>
    <cellStyle name="40 % - Akzent4 2 4" xfId="309"/>
    <cellStyle name="40 % - Akzent4 3" xfId="310"/>
    <cellStyle name="40 % - Akzent4 3 2" xfId="311"/>
    <cellStyle name="40 % - Akzent4 3 3" xfId="312"/>
    <cellStyle name="40 % - Akzent4 3 4" xfId="313"/>
    <cellStyle name="40 % - Akzent4 4" xfId="314"/>
    <cellStyle name="40 % - Akzent4 4 2" xfId="315"/>
    <cellStyle name="40 % - Akzent4 4 3" xfId="316"/>
    <cellStyle name="40 % - Akzent4 4 4" xfId="317"/>
    <cellStyle name="40 % - Akzent4 5" xfId="318"/>
    <cellStyle name="40 % - Akzent4 5 2" xfId="319"/>
    <cellStyle name="40 % - Akzent4 5 3" xfId="320"/>
    <cellStyle name="40 % - Akzent4 5 4" xfId="321"/>
    <cellStyle name="40 % - Akzent4 6" xfId="322"/>
    <cellStyle name="40 % - Akzent4 6 2" xfId="323"/>
    <cellStyle name="40 % - Akzent4 6 3" xfId="324"/>
    <cellStyle name="40 % - Akzent4 6 4" xfId="325"/>
    <cellStyle name="40 % - Akzent4 7" xfId="326"/>
    <cellStyle name="40 % - Akzent4 7 2" xfId="327"/>
    <cellStyle name="40 % - Akzent4 8" xfId="328"/>
    <cellStyle name="40 % - Akzent4 8 2" xfId="329"/>
    <cellStyle name="40 % - Akzent4 9" xfId="330"/>
    <cellStyle name="40 % - Akzent4 9 2" xfId="331"/>
    <cellStyle name="40 % - Akzent5 10" xfId="332"/>
    <cellStyle name="40 % - Akzent5 10 2" xfId="333"/>
    <cellStyle name="40 % - Akzent5 11" xfId="334"/>
    <cellStyle name="40 % - Akzent5 11 2" xfId="335"/>
    <cellStyle name="40 % - Akzent5 12" xfId="336"/>
    <cellStyle name="40 % - Akzent5 13" xfId="337"/>
    <cellStyle name="40 % - Akzent5 14" xfId="338"/>
    <cellStyle name="40 % - Akzent5 2" xfId="339"/>
    <cellStyle name="40 % - Akzent5 2 2" xfId="340"/>
    <cellStyle name="40 % - Akzent5 2 3" xfId="341"/>
    <cellStyle name="40 % - Akzent5 2 4" xfId="342"/>
    <cellStyle name="40 % - Akzent5 3" xfId="343"/>
    <cellStyle name="40 % - Akzent5 3 2" xfId="344"/>
    <cellStyle name="40 % - Akzent5 3 3" xfId="345"/>
    <cellStyle name="40 % - Akzent5 3 4" xfId="346"/>
    <cellStyle name="40 % - Akzent5 4" xfId="347"/>
    <cellStyle name="40 % - Akzent5 4 2" xfId="348"/>
    <cellStyle name="40 % - Akzent5 4 3" xfId="349"/>
    <cellStyle name="40 % - Akzent5 4 4" xfId="350"/>
    <cellStyle name="40 % - Akzent5 5" xfId="351"/>
    <cellStyle name="40 % - Akzent5 5 2" xfId="352"/>
    <cellStyle name="40 % - Akzent5 5 3" xfId="353"/>
    <cellStyle name="40 % - Akzent5 5 4" xfId="354"/>
    <cellStyle name="40 % - Akzent5 6" xfId="355"/>
    <cellStyle name="40 % - Akzent5 6 2" xfId="356"/>
    <cellStyle name="40 % - Akzent5 6 3" xfId="357"/>
    <cellStyle name="40 % - Akzent5 6 4" xfId="358"/>
    <cellStyle name="40 % - Akzent5 7" xfId="359"/>
    <cellStyle name="40 % - Akzent5 7 2" xfId="360"/>
    <cellStyle name="40 % - Akzent5 8" xfId="361"/>
    <cellStyle name="40 % - Akzent5 8 2" xfId="362"/>
    <cellStyle name="40 % - Akzent5 9" xfId="363"/>
    <cellStyle name="40 % - Akzent5 9 2" xfId="364"/>
    <cellStyle name="40 % - Akzent6 10" xfId="365"/>
    <cellStyle name="40 % - Akzent6 10 2" xfId="366"/>
    <cellStyle name="40 % - Akzent6 11" xfId="367"/>
    <cellStyle name="40 % - Akzent6 11 2" xfId="368"/>
    <cellStyle name="40 % - Akzent6 12" xfId="369"/>
    <cellStyle name="40 % - Akzent6 13" xfId="370"/>
    <cellStyle name="40 % - Akzent6 14" xfId="371"/>
    <cellStyle name="40 % - Akzent6 2" xfId="372"/>
    <cellStyle name="40 % - Akzent6 2 2" xfId="373"/>
    <cellStyle name="40 % - Akzent6 2 3" xfId="374"/>
    <cellStyle name="40 % - Akzent6 2 4" xfId="375"/>
    <cellStyle name="40 % - Akzent6 3" xfId="376"/>
    <cellStyle name="40 % - Akzent6 3 2" xfId="377"/>
    <cellStyle name="40 % - Akzent6 3 3" xfId="378"/>
    <cellStyle name="40 % - Akzent6 3 4" xfId="379"/>
    <cellStyle name="40 % - Akzent6 4" xfId="380"/>
    <cellStyle name="40 % - Akzent6 4 2" xfId="381"/>
    <cellStyle name="40 % - Akzent6 4 3" xfId="382"/>
    <cellStyle name="40 % - Akzent6 4 4" xfId="383"/>
    <cellStyle name="40 % - Akzent6 5" xfId="384"/>
    <cellStyle name="40 % - Akzent6 5 2" xfId="385"/>
    <cellStyle name="40 % - Akzent6 5 3" xfId="386"/>
    <cellStyle name="40 % - Akzent6 5 4" xfId="387"/>
    <cellStyle name="40 % - Akzent6 6" xfId="388"/>
    <cellStyle name="40 % - Akzent6 6 2" xfId="389"/>
    <cellStyle name="40 % - Akzent6 6 3" xfId="390"/>
    <cellStyle name="40 % - Akzent6 6 4" xfId="391"/>
    <cellStyle name="40 % - Akzent6 7" xfId="392"/>
    <cellStyle name="40 % - Akzent6 7 2" xfId="393"/>
    <cellStyle name="40 % - Akzent6 8" xfId="394"/>
    <cellStyle name="40 % - Akzent6 8 2" xfId="395"/>
    <cellStyle name="40 % - Akzent6 9" xfId="396"/>
    <cellStyle name="40 % - Akzent6 9 2" xfId="397"/>
    <cellStyle name="Hyperlink" xfId="470" builtinId="8"/>
    <cellStyle name="Komma 2" xfId="398"/>
    <cellStyle name="Komma 3" xfId="399"/>
    <cellStyle name="Komma 4" xfId="400"/>
    <cellStyle name="Normal" xfId="0" builtinId="0"/>
    <cellStyle name="Normal 2" xfId="472"/>
    <cellStyle name="Notiz 10" xfId="401"/>
    <cellStyle name="Notiz 10 2" xfId="402"/>
    <cellStyle name="Notiz 11" xfId="403"/>
    <cellStyle name="Notiz 11 2" xfId="404"/>
    <cellStyle name="Notiz 12" xfId="405"/>
    <cellStyle name="Notiz 12 2" xfId="406"/>
    <cellStyle name="Notiz 2" xfId="407"/>
    <cellStyle name="Notiz 2 2" xfId="408"/>
    <cellStyle name="Notiz 2 3" xfId="409"/>
    <cellStyle name="Notiz 2 4" xfId="410"/>
    <cellStyle name="Notiz 3" xfId="411"/>
    <cellStyle name="Notiz 3 2" xfId="412"/>
    <cellStyle name="Notiz 3 3" xfId="413"/>
    <cellStyle name="Notiz 3 4" xfId="414"/>
    <cellStyle name="Notiz 4" xfId="415"/>
    <cellStyle name="Notiz 4 2" xfId="416"/>
    <cellStyle name="Notiz 4 3" xfId="417"/>
    <cellStyle name="Notiz 4 4" xfId="418"/>
    <cellStyle name="Notiz 5" xfId="419"/>
    <cellStyle name="Notiz 5 2" xfId="420"/>
    <cellStyle name="Notiz 5 3" xfId="421"/>
    <cellStyle name="Notiz 5 4" xfId="422"/>
    <cellStyle name="Notiz 6" xfId="423"/>
    <cellStyle name="Notiz 6 2" xfId="424"/>
    <cellStyle name="Notiz 6 3" xfId="425"/>
    <cellStyle name="Notiz 6 4" xfId="426"/>
    <cellStyle name="Notiz 7" xfId="427"/>
    <cellStyle name="Notiz 7 2" xfId="428"/>
    <cellStyle name="Notiz 7 3" xfId="429"/>
    <cellStyle name="Notiz 7 4" xfId="430"/>
    <cellStyle name="Notiz 8" xfId="431"/>
    <cellStyle name="Notiz 8 2" xfId="432"/>
    <cellStyle name="Notiz 9" xfId="433"/>
    <cellStyle name="Notiz 9 2" xfId="434"/>
    <cellStyle name="Percent" xfId="471" builtinId="5"/>
    <cellStyle name="Standard 10" xfId="435"/>
    <cellStyle name="Standard 10 2" xfId="436"/>
    <cellStyle name="Standard 11" xfId="437"/>
    <cellStyle name="Standard 11 2" xfId="438"/>
    <cellStyle name="Standard 12" xfId="439"/>
    <cellStyle name="Standard 12 2" xfId="440"/>
    <cellStyle name="Standard 13" xfId="441"/>
    <cellStyle name="Standard 13 2" xfId="1"/>
    <cellStyle name="Standard 2" xfId="442"/>
    <cellStyle name="Standard 2 2" xfId="443"/>
    <cellStyle name="Standard 2 3" xfId="444"/>
    <cellStyle name="Standard 2 4" xfId="445"/>
    <cellStyle name="Standard 3" xfId="446"/>
    <cellStyle name="Standard 3 2" xfId="447"/>
    <cellStyle name="Standard 3 3" xfId="448"/>
    <cellStyle name="Standard 3 4" xfId="449"/>
    <cellStyle name="Standard 4" xfId="450"/>
    <cellStyle name="Standard 4 2" xfId="451"/>
    <cellStyle name="Standard 4 3" xfId="452"/>
    <cellStyle name="Standard 4 4" xfId="453"/>
    <cellStyle name="Standard 5" xfId="454"/>
    <cellStyle name="Standard 5 2" xfId="455"/>
    <cellStyle name="Standard 5 3" xfId="456"/>
    <cellStyle name="Standard 5 4" xfId="457"/>
    <cellStyle name="Standard 6" xfId="458"/>
    <cellStyle name="Standard 6 2" xfId="459"/>
    <cellStyle name="Standard 6 3" xfId="460"/>
    <cellStyle name="Standard 6 4" xfId="461"/>
    <cellStyle name="Standard 7" xfId="462"/>
    <cellStyle name="Standard 7 2" xfId="463"/>
    <cellStyle name="Standard 7 3" xfId="464"/>
    <cellStyle name="Standard 7 4" xfId="465"/>
    <cellStyle name="Standard 8" xfId="466"/>
    <cellStyle name="Standard 8 2" xfId="467"/>
    <cellStyle name="Standard 9" xfId="468"/>
    <cellStyle name="Standard 9 2" xfId="46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E" sz="900" b="0" i="0" u="none" strike="noStrike" baseline="0">
                  <a:solidFill>
                    <a:srgbClr val="000000"/>
                  </a:solidFill>
                  <a:latin typeface="Calibri"/>
                </a:rPr>
                <a:t>Run Selection</a:t>
              </a:r>
            </a:p>
            <a:p>
              <a:pPr algn="ctr" rtl="0">
                <a:defRPr sz="1000"/>
              </a:pPr>
              <a:r>
                <a:rPr lang="en-IE" sz="900" b="0" i="0" u="none" strike="noStrike" baseline="0">
                  <a:solidFill>
                    <a:srgbClr val="000000"/>
                  </a:solidFill>
                  <a:latin typeface="Calibri"/>
                </a:rPr>
                <a:t>as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fuefit.readthedocs.org/en/stable/usage.html" TargetMode="External"/><Relationship Id="rId6" Type="http://schemas.openxmlformats.org/officeDocument/2006/relationships/comments" Target="../comments1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P20"/>
  <sheetViews>
    <sheetView tabSelected="1" workbookViewId="0">
      <selection activeCell="O2" sqref="O2"/>
    </sheetView>
  </sheetViews>
  <sheetFormatPr defaultRowHeight="15" x14ac:dyDescent="0.25"/>
  <cols>
    <col min="1" max="1" width="33.140625" style="7" customWidth="1"/>
    <col min="2" max="2" width="23" style="4" customWidth="1"/>
    <col min="3" max="3" width="7.28515625" style="2" customWidth="1"/>
    <col min="4" max="4" width="6" customWidth="1"/>
    <col min="5" max="10" width="10.7109375" customWidth="1"/>
    <col min="11" max="14" width="15.42578125" customWidth="1"/>
    <col min="15" max="15" width="10.7109375" customWidth="1"/>
    <col min="16" max="16" width="38.28515625" customWidth="1"/>
  </cols>
  <sheetData>
    <row r="1" spans="1:16" x14ac:dyDescent="0.25">
      <c r="B1" s="14" t="s">
        <v>16</v>
      </c>
      <c r="C1" s="13" t="s">
        <v>17</v>
      </c>
      <c r="D1" s="12"/>
      <c r="E1" s="12"/>
      <c r="F1" s="12"/>
      <c r="G1" s="12"/>
      <c r="H1" s="12"/>
    </row>
    <row r="2" spans="1:16" s="1" customFormat="1" ht="15.75" x14ac:dyDescent="0.25">
      <c r="A2" s="9"/>
      <c r="B2" s="6" t="s">
        <v>1</v>
      </c>
      <c r="C2" s="10"/>
      <c r="D2" s="1" t="s">
        <v>0</v>
      </c>
      <c r="E2" s="10" t="s">
        <v>6</v>
      </c>
      <c r="F2" s="10" t="s">
        <v>7</v>
      </c>
      <c r="G2" s="10" t="s">
        <v>12</v>
      </c>
      <c r="H2" s="10" t="s">
        <v>13</v>
      </c>
      <c r="I2" s="10" t="s">
        <v>8</v>
      </c>
      <c r="J2" s="10" t="s">
        <v>9</v>
      </c>
      <c r="K2" s="10" t="s">
        <v>34</v>
      </c>
      <c r="L2" s="10" t="s">
        <v>44</v>
      </c>
      <c r="M2" s="10" t="s">
        <v>45</v>
      </c>
      <c r="N2" s="10" t="s">
        <v>33</v>
      </c>
      <c r="O2" s="10" t="s">
        <v>47</v>
      </c>
      <c r="P2" s="10" t="s">
        <v>14</v>
      </c>
    </row>
    <row r="3" spans="1:16" x14ac:dyDescent="0.25">
      <c r="A3" s="7" t="s">
        <v>18</v>
      </c>
      <c r="B3" s="14" t="s">
        <v>46</v>
      </c>
      <c r="D3" t="s">
        <v>36</v>
      </c>
      <c r="E3" t="s">
        <v>5</v>
      </c>
      <c r="F3">
        <v>110</v>
      </c>
      <c r="G3">
        <v>800</v>
      </c>
      <c r="H3">
        <v>6000</v>
      </c>
      <c r="I3">
        <v>81</v>
      </c>
      <c r="J3">
        <v>1600</v>
      </c>
      <c r="K3">
        <v>-1.0000000000000001E-9</v>
      </c>
      <c r="L3">
        <v>0</v>
      </c>
      <c r="M3" s="11" t="s">
        <v>22</v>
      </c>
      <c r="N3">
        <v>44000</v>
      </c>
      <c r="O3" s="11" t="s">
        <v>22</v>
      </c>
      <c r="P3" s="11" t="s">
        <v>40</v>
      </c>
    </row>
    <row r="4" spans="1:16" ht="24" x14ac:dyDescent="0.25">
      <c r="A4" s="7" t="s">
        <v>19</v>
      </c>
      <c r="B4" s="5" t="s">
        <v>23</v>
      </c>
      <c r="D4" t="s">
        <v>37</v>
      </c>
      <c r="E4" t="s">
        <v>4</v>
      </c>
      <c r="F4">
        <v>70</v>
      </c>
      <c r="G4">
        <v>800</v>
      </c>
      <c r="H4" s="15">
        <v>3800</v>
      </c>
      <c r="I4">
        <v>82</v>
      </c>
      <c r="J4">
        <v>1500</v>
      </c>
      <c r="K4">
        <v>-1.0000000000000001E-9</v>
      </c>
      <c r="L4">
        <v>0</v>
      </c>
      <c r="M4" s="11" t="s">
        <v>22</v>
      </c>
      <c r="N4">
        <v>43000</v>
      </c>
      <c r="O4" s="11" t="s">
        <v>22</v>
      </c>
      <c r="P4" s="11" t="s">
        <v>41</v>
      </c>
    </row>
    <row r="5" spans="1:16" x14ac:dyDescent="0.25">
      <c r="A5" s="7" t="s">
        <v>15</v>
      </c>
      <c r="B5" s="5"/>
      <c r="C5" s="3"/>
      <c r="D5" t="s">
        <v>38</v>
      </c>
      <c r="E5" t="s">
        <v>5</v>
      </c>
      <c r="F5">
        <v>65</v>
      </c>
      <c r="G5">
        <v>800</v>
      </c>
      <c r="H5" s="15">
        <v>6000</v>
      </c>
      <c r="I5">
        <v>82</v>
      </c>
      <c r="J5">
        <v>1400</v>
      </c>
      <c r="K5">
        <v>-1.0000000000000001E-9</v>
      </c>
      <c r="L5">
        <v>0</v>
      </c>
      <c r="M5" s="11" t="s">
        <v>22</v>
      </c>
      <c r="N5">
        <v>44000</v>
      </c>
      <c r="O5" s="11" t="s">
        <v>22</v>
      </c>
      <c r="P5" s="11" t="s">
        <v>42</v>
      </c>
    </row>
    <row r="6" spans="1:16" ht="24" x14ac:dyDescent="0.25">
      <c r="A6" s="8" t="s">
        <v>2</v>
      </c>
      <c r="B6" s="5"/>
      <c r="C6" s="3"/>
      <c r="D6" t="s">
        <v>39</v>
      </c>
      <c r="E6" t="s">
        <v>4</v>
      </c>
      <c r="F6">
        <v>90</v>
      </c>
      <c r="G6">
        <v>800</v>
      </c>
      <c r="H6">
        <v>4000</v>
      </c>
      <c r="I6">
        <v>90</v>
      </c>
      <c r="J6">
        <v>1800</v>
      </c>
      <c r="K6">
        <v>-1.0000000000000001E-9</v>
      </c>
      <c r="L6">
        <v>0</v>
      </c>
      <c r="M6" s="11" t="s">
        <v>22</v>
      </c>
      <c r="N6">
        <v>43000</v>
      </c>
      <c r="O6" s="11" t="s">
        <v>22</v>
      </c>
      <c r="P6" s="11" t="s">
        <v>43</v>
      </c>
    </row>
    <row r="7" spans="1:16" ht="24" x14ac:dyDescent="0.25">
      <c r="A7" s="8" t="s">
        <v>3</v>
      </c>
      <c r="B7" s="5"/>
      <c r="C7" s="3"/>
      <c r="O7" s="11"/>
    </row>
    <row r="8" spans="1:16" x14ac:dyDescent="0.25">
      <c r="A8" s="8"/>
      <c r="C8" s="3"/>
      <c r="O8" s="11"/>
    </row>
    <row r="9" spans="1:16" x14ac:dyDescent="0.25">
      <c r="A9" s="8"/>
      <c r="O9" s="11"/>
    </row>
    <row r="10" spans="1:16" x14ac:dyDescent="0.25">
      <c r="O10" s="11"/>
    </row>
    <row r="11" spans="1:16" x14ac:dyDescent="0.25">
      <c r="O11" s="11"/>
    </row>
    <row r="12" spans="1:16" x14ac:dyDescent="0.25">
      <c r="O12" s="11"/>
    </row>
    <row r="13" spans="1:16" x14ac:dyDescent="0.25">
      <c r="O13" s="11"/>
    </row>
    <row r="14" spans="1:16" x14ac:dyDescent="0.25">
      <c r="O14" s="11"/>
    </row>
    <row r="15" spans="1:16" x14ac:dyDescent="0.25">
      <c r="O15" s="11"/>
    </row>
    <row r="16" spans="1:16" x14ac:dyDescent="0.25">
      <c r="O16" s="11"/>
    </row>
    <row r="17" spans="15:15" x14ac:dyDescent="0.25">
      <c r="O17" s="11"/>
    </row>
    <row r="18" spans="15:15" x14ac:dyDescent="0.25">
      <c r="O18" s="11"/>
    </row>
    <row r="19" spans="15:15" x14ac:dyDescent="0.25">
      <c r="O19" s="11"/>
    </row>
    <row r="20" spans="15:15" x14ac:dyDescent="0.25">
      <c r="O20" s="11"/>
    </row>
  </sheetData>
  <hyperlinks>
    <hyperlink ref="C1" r:id="rId1" location="excel-usage"/>
  </hyperlinks>
  <pageMargins left="0.7" right="0.7" top="0.75" bottom="0.75" header="0.3" footer="0.3"/>
  <pageSetup paperSize="9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RunSelectionAsMyPython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1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C2:AS270"/>
  <sheetViews>
    <sheetView topLeftCell="B1" workbookViewId="0">
      <selection activeCell="C35" sqref="C35"/>
    </sheetView>
  </sheetViews>
  <sheetFormatPr defaultRowHeight="14.25" x14ac:dyDescent="0.2"/>
  <cols>
    <col min="1" max="2" width="9.140625" style="17"/>
    <col min="3" max="4" width="49.42578125" style="17" customWidth="1"/>
    <col min="5" max="5" width="16" style="17" bestFit="1" customWidth="1"/>
    <col min="6" max="6" width="17.28515625" style="17" bestFit="1" customWidth="1"/>
    <col min="7" max="26" width="9.140625" style="17"/>
    <col min="27" max="27" width="18.140625" style="17" bestFit="1" customWidth="1"/>
    <col min="28" max="28" width="10" style="17" bestFit="1" customWidth="1"/>
    <col min="29" max="29" width="13.140625" style="17" bestFit="1" customWidth="1"/>
    <col min="30" max="39" width="9.140625" style="17"/>
    <col min="40" max="45" width="9.28515625" style="17" bestFit="1" customWidth="1"/>
    <col min="46" max="46" width="13.140625" style="17" bestFit="1" customWidth="1"/>
    <col min="47" max="16384" width="9.140625" style="17"/>
  </cols>
  <sheetData>
    <row r="2" spans="3:11" x14ac:dyDescent="0.2">
      <c r="E2" s="17" t="str">
        <f ca="1">CONCATENATE($D12,"!",E$6,"2")</f>
        <v>!a2</v>
      </c>
    </row>
    <row r="3" spans="3:11" x14ac:dyDescent="0.2">
      <c r="E3" s="17" t="e">
        <f>#REF!</f>
        <v>#REF!</v>
      </c>
    </row>
    <row r="5" spans="3:11" x14ac:dyDescent="0.2">
      <c r="E5" s="17" t="s">
        <v>35</v>
      </c>
    </row>
    <row r="6" spans="3:11" ht="28.5" x14ac:dyDescent="0.2">
      <c r="C6" s="16" t="s">
        <v>27</v>
      </c>
      <c r="D6" s="16" t="s">
        <v>28</v>
      </c>
      <c r="E6" s="17" t="s">
        <v>24</v>
      </c>
      <c r="F6" s="17" t="s">
        <v>25</v>
      </c>
      <c r="G6" s="17" t="s">
        <v>26</v>
      </c>
      <c r="H6" s="17" t="s">
        <v>29</v>
      </c>
      <c r="I6" s="17" t="s">
        <v>30</v>
      </c>
      <c r="J6" s="17" t="s">
        <v>31</v>
      </c>
      <c r="K6" s="17" t="s">
        <v>32</v>
      </c>
    </row>
    <row r="7" spans="3:11" x14ac:dyDescent="0.2">
      <c r="C7" s="17" t="str">
        <f ca="1">IFERROR(INDEX(MID(Sheets,FIND("]",Sheets)+1,255),ROW(A1),1),"")</f>
        <v>Input</v>
      </c>
      <c r="D7" s="17" t="str">
        <f t="array" aca="1" ref="D7" ca="1">IFERROR(INDEX(MID(Sheets,FIND("]",Sheets)+1,255),SMALL(IF(MID(Sheets,FIND("]",Sheets)+1,255)&lt;&gt;MID(CELL("filename",A1),FIND("]",CELL("filename",A1))+1,255),ROW(INDIRECT("$A$1:$A$"&amp;COUNTA(MID(Sheets,FIND("]",Sheets)+1,255))))),ROW(1:1)),1),"")</f>
        <v>Input</v>
      </c>
      <c r="E7" s="17">
        <f t="shared" ref="E7:K11" ca="1" si="0">INDIRECT(CONCATENATE($D7,"!",E$6,"2"))</f>
        <v>0</v>
      </c>
      <c r="F7" s="17" t="str">
        <f t="shared" ca="1" si="0"/>
        <v>Debug-print</v>
      </c>
      <c r="G7" s="17">
        <f t="shared" ca="1" si="0"/>
        <v>0</v>
      </c>
      <c r="H7" s="17" t="str">
        <f t="shared" ca="1" si="0"/>
        <v>id</v>
      </c>
      <c r="I7" s="17" t="str">
        <f t="shared" ca="1" si="0"/>
        <v>/engine/fuel</v>
      </c>
      <c r="J7" s="17" t="str">
        <f t="shared" ca="1" si="0"/>
        <v>/engine/p_max</v>
      </c>
      <c r="K7" s="17" t="str">
        <f t="shared" ca="1" si="0"/>
        <v>/engine/n_idle</v>
      </c>
    </row>
    <row r="8" spans="3:11" x14ac:dyDescent="0.2">
      <c r="C8" s="17" t="str">
        <f ca="1">IFERROR(INDEX(MID(Sheets,FIND("]",Sheets)+1,255),ROW(A2),1),"")</f>
        <v>Summary</v>
      </c>
      <c r="D8" s="17" t="str">
        <f t="array" aca="1" ref="D8" ca="1">IFERROR(INDEX(MID(Sheets,FIND("]",Sheets)+1,255),SMALL(IF(MID(Sheets,FIND("]",Sheets)+1,255)&lt;&gt;MID(CELL("filename",A2),FIND("]",CELL("filename",A2))+1,255),ROW(INDIRECT("$A$1:$A$"&amp;COUNTA(MID(Sheets,FIND("]",Sheets)+1,255))))),ROW(2:2)),1),"")</f>
        <v>engine1</v>
      </c>
      <c r="E8" s="17">
        <f t="shared" ca="1" si="0"/>
        <v>0</v>
      </c>
      <c r="F8" s="17">
        <f t="shared" ca="1" si="0"/>
        <v>0</v>
      </c>
      <c r="G8" s="17">
        <f t="shared" ca="1" si="0"/>
        <v>0</v>
      </c>
      <c r="H8" s="17">
        <f t="shared" ca="1" si="0"/>
        <v>0</v>
      </c>
      <c r="I8" s="17">
        <f t="shared" ca="1" si="0"/>
        <v>0</v>
      </c>
      <c r="J8" s="17">
        <f t="shared" ca="1" si="0"/>
        <v>0</v>
      </c>
      <c r="K8" s="17">
        <f t="shared" ca="1" si="0"/>
        <v>0</v>
      </c>
    </row>
    <row r="9" spans="3:11" x14ac:dyDescent="0.2">
      <c r="C9" s="17" t="str">
        <f ca="1">IFERROR(INDEX(MID(Sheets,FIND("]",Sheets)+1,255),ROW(A3),1),"")</f>
        <v>engine1</v>
      </c>
      <c r="D9" s="17" t="str">
        <f t="array" aca="1" ref="D9" ca="1">IFERROR(INDEX(MID(Sheets,FIND("]",Sheets)+1,255),SMALL(IF(MID(Sheets,FIND("]",Sheets)+1,255)&lt;&gt;MID(CELL("filename",A3),FIND("]",CELL("filename",A3))+1,255),ROW(INDIRECT("$A$1:$A$"&amp;COUNTA(MID(Sheets,FIND("]",Sheets)+1,255))))),ROW(3:3)),1),"")</f>
        <v>engine2</v>
      </c>
      <c r="E9" s="17">
        <f t="shared" ca="1" si="0"/>
        <v>0</v>
      </c>
      <c r="F9" s="17">
        <f t="shared" ca="1" si="0"/>
        <v>0</v>
      </c>
      <c r="G9" s="17">
        <f t="shared" ca="1" si="0"/>
        <v>0</v>
      </c>
      <c r="H9" s="17">
        <f t="shared" ca="1" si="0"/>
        <v>0</v>
      </c>
      <c r="I9" s="17">
        <f t="shared" ca="1" si="0"/>
        <v>0</v>
      </c>
      <c r="J9" s="17">
        <f t="shared" ca="1" si="0"/>
        <v>0</v>
      </c>
      <c r="K9" s="17">
        <f t="shared" ca="1" si="0"/>
        <v>0</v>
      </c>
    </row>
    <row r="10" spans="3:11" x14ac:dyDescent="0.2">
      <c r="D10" s="17" t="str">
        <f t="array" aca="1" ref="D10" ca="1">IFERROR(INDEX(MID(Sheets,FIND("]",Sheets)+1,255),SMALL(IF(MID(Sheets,FIND("]",Sheets)+1,255)&lt;&gt;MID(CELL("filename",A4),FIND("]",CELL("filename",A4))+1,255),ROW(INDIRECT("$A$1:$A$"&amp;COUNTA(MID(Sheets,FIND("]",Sheets)+1,255))))),ROW(4:4)),1),"")</f>
        <v>engine3</v>
      </c>
      <c r="E10" s="17">
        <f t="shared" ca="1" si="0"/>
        <v>0</v>
      </c>
      <c r="F10" s="17">
        <f t="shared" ca="1" si="0"/>
        <v>0</v>
      </c>
      <c r="G10" s="17">
        <f t="shared" ca="1" si="0"/>
        <v>0</v>
      </c>
      <c r="H10" s="17">
        <f t="shared" ca="1" si="0"/>
        <v>0</v>
      </c>
      <c r="I10" s="17">
        <f t="shared" ca="1" si="0"/>
        <v>0</v>
      </c>
      <c r="J10" s="17">
        <f t="shared" ca="1" si="0"/>
        <v>0</v>
      </c>
      <c r="K10" s="17">
        <f t="shared" ca="1" si="0"/>
        <v>0</v>
      </c>
    </row>
    <row r="11" spans="3:11" x14ac:dyDescent="0.2">
      <c r="D11" s="17" t="str">
        <f t="array" aca="1" ref="D11" ca="1">IFERROR(INDEX(MID(Sheets,FIND("]",Sheets)+1,255),SMALL(IF(MID(Sheets,FIND("]",Sheets)+1,255)&lt;&gt;MID(CELL("filename",A5),FIND("]",CELL("filename",A5))+1,255),ROW(INDIRECT("$A$1:$A$"&amp;COUNTA(MID(Sheets,FIND("]",Sheets)+1,255))))),ROW(5:5)),1),"")</f>
        <v>engine4</v>
      </c>
      <c r="E11" s="17">
        <f t="shared" ca="1" si="0"/>
        <v>0</v>
      </c>
      <c r="F11" s="17">
        <f t="shared" ca="1" si="0"/>
        <v>0</v>
      </c>
      <c r="G11" s="17">
        <f t="shared" ca="1" si="0"/>
        <v>0</v>
      </c>
      <c r="H11" s="17">
        <f t="shared" ca="1" si="0"/>
        <v>0</v>
      </c>
      <c r="I11" s="17">
        <f t="shared" ca="1" si="0"/>
        <v>0</v>
      </c>
      <c r="J11" s="17">
        <f t="shared" ca="1" si="0"/>
        <v>0</v>
      </c>
      <c r="K11" s="17">
        <f t="shared" ca="1" si="0"/>
        <v>0</v>
      </c>
    </row>
    <row r="12" spans="3:11" x14ac:dyDescent="0.2">
      <c r="D12" s="17" t="str">
        <f t="array" aca="1" ref="D12" ca="1">IFERROR(INDEX(MID(Sheets,FIND("]",Sheets)+1,255),SMALL(IF(MID(Sheets,FIND("]",Sheets)+1,255)&lt;&gt;MID(CELL("filename",A6),FIND("]",CELL("filename",A6))+1,255),ROW(INDIRECT("$A$1:$A$"&amp;COUNTA(MID(Sheets,FIND("]",Sheets)+1,255))))),ROW(6:6)),1),"")</f>
        <v/>
      </c>
      <c r="E12" s="17" t="e">
        <f ca="1">INDIRECT(CONCATENATE("'",$D12,"'!",E$6,"2"))</f>
        <v>#REF!</v>
      </c>
      <c r="F12" s="17" t="e">
        <f t="shared" ref="F12:K15" ca="1" si="1">INDIRECT(CONCATENATE("'",$D12,"'!",F$6,"2"))</f>
        <v>#REF!</v>
      </c>
      <c r="G12" s="17" t="e">
        <f t="shared" ca="1" si="1"/>
        <v>#REF!</v>
      </c>
      <c r="H12" s="17" t="e">
        <f t="shared" ca="1" si="1"/>
        <v>#REF!</v>
      </c>
      <c r="I12" s="17" t="e">
        <f t="shared" ca="1" si="1"/>
        <v>#REF!</v>
      </c>
      <c r="J12" s="17" t="e">
        <f t="shared" ca="1" si="1"/>
        <v>#REF!</v>
      </c>
      <c r="K12" s="17" t="e">
        <f t="shared" ca="1" si="1"/>
        <v>#REF!</v>
      </c>
    </row>
    <row r="13" spans="3:11" x14ac:dyDescent="0.2">
      <c r="D13" s="17" t="str">
        <f t="array" aca="1" ref="D13" ca="1">IFERROR(INDEX(MID(Sheets,FIND("]",Sheets)+1,255),SMALL(IF(MID(Sheets,FIND("]",Sheets)+1,255)&lt;&gt;MID(CELL("filename",A7),FIND("]",CELL("filename",A7))+1,255),ROW(INDIRECT("$A$1:$A$"&amp;COUNTA(MID(Sheets,FIND("]",Sheets)+1,255))))),ROW(7:7)),1),"")</f>
        <v/>
      </c>
      <c r="E13" s="17" t="e">
        <f t="shared" ref="E13:E15" ca="1" si="2">INDIRECT(CONCATENATE("'",$D13,"'!",E$6,"2"))</f>
        <v>#REF!</v>
      </c>
      <c r="F13" s="17" t="e">
        <f t="shared" ca="1" si="1"/>
        <v>#REF!</v>
      </c>
      <c r="G13" s="17" t="e">
        <f t="shared" ca="1" si="1"/>
        <v>#REF!</v>
      </c>
      <c r="H13" s="17" t="e">
        <f t="shared" ca="1" si="1"/>
        <v>#REF!</v>
      </c>
      <c r="I13" s="17" t="e">
        <f t="shared" ca="1" si="1"/>
        <v>#REF!</v>
      </c>
      <c r="J13" s="17" t="e">
        <f t="shared" ca="1" si="1"/>
        <v>#REF!</v>
      </c>
      <c r="K13" s="17" t="e">
        <f t="shared" ca="1" si="1"/>
        <v>#REF!</v>
      </c>
    </row>
    <row r="14" spans="3:11" x14ac:dyDescent="0.2">
      <c r="D14" s="17" t="str">
        <f t="array" aca="1" ref="D14" ca="1">IFERROR(INDEX(MID(Sheets,FIND("]",Sheets)+1,255),SMALL(IF(MID(Sheets,FIND("]",Sheets)+1,255)&lt;&gt;MID(CELL("filename",A8),FIND("]",CELL("filename",A8))+1,255),ROW(INDIRECT("$A$1:$A$"&amp;COUNTA(MID(Sheets,FIND("]",Sheets)+1,255))))),ROW(8:8)),1),"")</f>
        <v/>
      </c>
      <c r="E14" s="17" t="e">
        <f t="shared" ca="1" si="2"/>
        <v>#REF!</v>
      </c>
      <c r="F14" s="17" t="e">
        <f t="shared" ca="1" si="1"/>
        <v>#REF!</v>
      </c>
      <c r="G14" s="17" t="e">
        <f t="shared" ca="1" si="1"/>
        <v>#REF!</v>
      </c>
      <c r="H14" s="17" t="e">
        <f t="shared" ca="1" si="1"/>
        <v>#REF!</v>
      </c>
      <c r="I14" s="17" t="e">
        <f t="shared" ca="1" si="1"/>
        <v>#REF!</v>
      </c>
      <c r="J14" s="17" t="e">
        <f t="shared" ca="1" si="1"/>
        <v>#REF!</v>
      </c>
      <c r="K14" s="17" t="e">
        <f t="shared" ca="1" si="1"/>
        <v>#REF!</v>
      </c>
    </row>
    <row r="15" spans="3:11" x14ac:dyDescent="0.2">
      <c r="D15" s="17" t="str">
        <f t="array" aca="1" ref="D15" ca="1">IFERROR(INDEX(MID(Sheets,FIND("]",Sheets)+1,255),SMALL(IF(MID(Sheets,FIND("]",Sheets)+1,255)&lt;&gt;MID(CELL("filename",A9),FIND("]",CELL("filename",A9))+1,255),ROW(INDIRECT("$A$1:$A$"&amp;COUNTA(MID(Sheets,FIND("]",Sheets)+1,255))))),ROW(9:9)),1),"")</f>
        <v/>
      </c>
      <c r="E15" s="17" t="e">
        <f t="shared" ca="1" si="2"/>
        <v>#REF!</v>
      </c>
      <c r="F15" s="17" t="e">
        <f t="shared" ca="1" si="1"/>
        <v>#REF!</v>
      </c>
      <c r="G15" s="17" t="e">
        <f t="shared" ca="1" si="1"/>
        <v>#REF!</v>
      </c>
      <c r="H15" s="17" t="e">
        <f t="shared" ca="1" si="1"/>
        <v>#REF!</v>
      </c>
      <c r="I15" s="17" t="e">
        <f t="shared" ca="1" si="1"/>
        <v>#REF!</v>
      </c>
      <c r="J15" s="17" t="e">
        <f t="shared" ca="1" si="1"/>
        <v>#REF!</v>
      </c>
      <c r="K15" s="17" t="e">
        <f t="shared" ca="1" si="1"/>
        <v>#REF!</v>
      </c>
    </row>
    <row r="16" spans="3:11" ht="21.75" customHeight="1" x14ac:dyDescent="0.2">
      <c r="D16" s="17" t="str">
        <f t="array" aca="1" ref="D16" ca="1">IFERROR(INDEX(MID(Sheets,FIND("]",Sheets)+1,255),SMALL(IF(MID(Sheets,FIND("]",Sheets)+1,255)&lt;&gt;MID(CELL("filename",A10),FIND("]",CELL("filename",A10))+1,255),ROW(INDIRECT("$A$1:$A$"&amp;COUNTA(MID(Sheets,FIND("]",Sheets)+1,255))))),ROW(10:10)),1),"")</f>
        <v/>
      </c>
    </row>
    <row r="17" spans="4:45" x14ac:dyDescent="0.2">
      <c r="D17" s="17" t="str">
        <f t="array" aca="1" ref="D17" ca="1">IFERROR(INDEX(MID(Sheets,FIND("]",Sheets)+1,255),SMALL(IF(MID(Sheets,FIND("]",Sheets)+1,255)&lt;&gt;MID(CELL("filename",A11),FIND("]",CELL("filename",A11))+1,255),ROW(INDIRECT("$A$1:$A$"&amp;COUNTA(MID(Sheets,FIND("]",Sheets)+1,255))))),ROW(11:11)),1),"")</f>
        <v/>
      </c>
    </row>
    <row r="18" spans="4:45" x14ac:dyDescent="0.2">
      <c r="D18" s="17" t="str">
        <f t="array" aca="1" ref="D18" ca="1">IFERROR(INDEX(MID(Sheets,FIND("]",Sheets)+1,255),SMALL(IF(MID(Sheets,FIND("]",Sheets)+1,255)&lt;&gt;MID(CELL("filename",A12),FIND("]",CELL("filename",A12))+1,255),ROW(INDIRECT("$A$1:$A$"&amp;COUNTA(MID(Sheets,FIND("]",Sheets)+1,255))))),ROW(12:12)),1),"")</f>
        <v/>
      </c>
    </row>
    <row r="19" spans="4:45" x14ac:dyDescent="0.2">
      <c r="D19" s="17" t="str">
        <f t="array" aca="1" ref="D19" ca="1">IFERROR(INDEX(MID(Sheets,FIND("]",Sheets)+1,255),SMALL(IF(MID(Sheets,FIND("]",Sheets)+1,255)&lt;&gt;MID(CELL("filename",A13),FIND("]",CELL("filename",A13))+1,255),ROW(INDIRECT("$A$1:$A$"&amp;COUNTA(MID(Sheets,FIND("]",Sheets)+1,255))))),ROW(13:13)),1),"")</f>
        <v/>
      </c>
    </row>
    <row r="20" spans="4:45" x14ac:dyDescent="0.2">
      <c r="D20" s="17" t="str">
        <f t="array" aca="1" ref="D20" ca="1">IFERROR(INDEX(MID(Sheets,FIND("]",Sheets)+1,255),SMALL(IF(MID(Sheets,FIND("]",Sheets)+1,255)&lt;&gt;MID(CELL("filename",A14),FIND("]",CELL("filename",A14))+1,255),ROW(INDIRECT("$A$1:$A$"&amp;COUNTA(MID(Sheets,FIND("]",Sheets)+1,255))))),ROW(14:14)),1),"")</f>
        <v/>
      </c>
    </row>
    <row r="21" spans="4:45" x14ac:dyDescent="0.2">
      <c r="D21" s="17" t="str">
        <f t="array" aca="1" ref="D21" ca="1">IFERROR(INDEX(MID(Sheets,FIND("]",Sheets)+1,255),SMALL(IF(MID(Sheets,FIND("]",Sheets)+1,255)&lt;&gt;MID(CELL("filename",A15),FIND("]",CELL("filename",A15))+1,255),ROW(INDIRECT("$A$1:$A$"&amp;COUNTA(MID(Sheets,FIND("]",Sheets)+1,255))))),ROW(15:15)),1),"")</f>
        <v/>
      </c>
    </row>
    <row r="22" spans="4:45" x14ac:dyDescent="0.2">
      <c r="D22" s="17" t="str">
        <f t="array" aca="1" ref="D22" ca="1">IFERROR(INDEX(MID(Sheets,FIND("]",Sheets)+1,255),SMALL(IF(MID(Sheets,FIND("]",Sheets)+1,255)&lt;&gt;MID(CELL("filename",A16),FIND("]",CELL("filename",A16))+1,255),ROW(INDIRECT("$A$1:$A$"&amp;COUNTA(MID(Sheets,FIND("]",Sheets)+1,255))))),ROW(16:16)),1),"")</f>
        <v/>
      </c>
    </row>
    <row r="23" spans="4:45" x14ac:dyDescent="0.2">
      <c r="D23" s="17" t="str">
        <f t="array" aca="1" ref="D23" ca="1">IFERROR(INDEX(MID(Sheets,FIND("]",Sheets)+1,255),SMALL(IF(MID(Sheets,FIND("]",Sheets)+1,255)&lt;&gt;MID(CELL("filename",A17),FIND("]",CELL("filename",A17))+1,255),ROW(INDIRECT("$A$1:$A$"&amp;COUNTA(MID(Sheets,FIND("]",Sheets)+1,255))))),ROW(17:17)),1),"")</f>
        <v/>
      </c>
    </row>
    <row r="24" spans="4:45" x14ac:dyDescent="0.2">
      <c r="D24" s="17" t="str">
        <f t="array" aca="1" ref="D24" ca="1">IFERROR(INDEX(MID(Sheets,FIND("]",Sheets)+1,255),SMALL(IF(MID(Sheets,FIND("]",Sheets)+1,255)&lt;&gt;MID(CELL("filename",A18),FIND("]",CELL("filename",A18))+1,255),ROW(INDIRECT("$A$1:$A$"&amp;COUNTA(MID(Sheets,FIND("]",Sheets)+1,255))))),ROW(18:18)),1),"")</f>
        <v/>
      </c>
      <c r="V24" s="18"/>
      <c r="AA24" s="18"/>
    </row>
    <row r="25" spans="4:45" x14ac:dyDescent="0.2">
      <c r="D25" s="17" t="str">
        <f t="array" aca="1" ref="D25" ca="1">IFERROR(INDEX(MID(Sheets,FIND("]",Sheets)+1,255),SMALL(IF(MID(Sheets,FIND("]",Sheets)+1,255)&lt;&gt;MID(CELL("filename",A19),FIND("]",CELL("filename",A19))+1,255),ROW(INDIRECT("$A$1:$A$"&amp;COUNTA(MID(Sheets,FIND("]",Sheets)+1,255))))),ROW(19:19)),1),"")</f>
        <v/>
      </c>
      <c r="V25" s="18"/>
      <c r="AA25" s="18"/>
    </row>
    <row r="26" spans="4:45" x14ac:dyDescent="0.2">
      <c r="D26" s="17" t="str">
        <f t="array" aca="1" ref="D26" ca="1">IFERROR(INDEX(MID(Sheets,FIND("]",Sheets)+1,255),SMALL(IF(MID(Sheets,FIND("]",Sheets)+1,255)&lt;&gt;MID(CELL("filename",A20),FIND("]",CELL("filename",A20))+1,255),ROW(INDIRECT("$A$1:$A$"&amp;COUNTA(MID(Sheets,FIND("]",Sheets)+1,255))))),ROW(20:20)),1),"")</f>
        <v/>
      </c>
      <c r="V26" s="19"/>
      <c r="W26" s="20"/>
      <c r="X26" s="20"/>
      <c r="Y26" s="20"/>
      <c r="Z26" s="20"/>
      <c r="AA26" s="19"/>
      <c r="AB26" s="20"/>
      <c r="AM26" s="20"/>
      <c r="AN26" s="20"/>
      <c r="AO26" s="20"/>
      <c r="AP26" s="20"/>
      <c r="AQ26" s="20"/>
      <c r="AR26" s="20"/>
      <c r="AS26" s="20"/>
    </row>
    <row r="27" spans="4:45" x14ac:dyDescent="0.2">
      <c r="D27" s="17" t="str">
        <f t="array" aca="1" ref="D27" ca="1">IFERROR(INDEX(MID(Sheets,FIND("]",Sheets)+1,255),SMALL(IF(MID(Sheets,FIND("]",Sheets)+1,255)&lt;&gt;MID(CELL("filename",A21),FIND("]",CELL("filename",A21))+1,255),ROW(INDIRECT("$A$1:$A$"&amp;COUNTA(MID(Sheets,FIND("]",Sheets)+1,255))))),ROW(21:21)),1),"")</f>
        <v/>
      </c>
      <c r="V27" s="19"/>
      <c r="W27" s="20"/>
      <c r="X27" s="20"/>
      <c r="Y27" s="20"/>
      <c r="Z27" s="20"/>
      <c r="AA27" s="19"/>
      <c r="AB27" s="20"/>
      <c r="AM27" s="20"/>
      <c r="AN27" s="20"/>
      <c r="AO27" s="20"/>
      <c r="AP27" s="20"/>
      <c r="AQ27" s="20"/>
      <c r="AR27" s="20"/>
      <c r="AS27" s="20"/>
    </row>
    <row r="28" spans="4:45" x14ac:dyDescent="0.2">
      <c r="D28" s="17" t="str">
        <f t="array" aca="1" ref="D28" ca="1">IFERROR(INDEX(MID(Sheets,FIND("]",Sheets)+1,255),SMALL(IF(MID(Sheets,FIND("]",Sheets)+1,255)&lt;&gt;MID(CELL("filename",A22),FIND("]",CELL("filename",A22))+1,255),ROW(INDIRECT("$A$1:$A$"&amp;COUNTA(MID(Sheets,FIND("]",Sheets)+1,255))))),ROW(22:22)),1),"")</f>
        <v/>
      </c>
      <c r="V28" s="19"/>
      <c r="W28" s="20"/>
      <c r="X28" s="20"/>
      <c r="Y28" s="20"/>
      <c r="Z28" s="20"/>
      <c r="AA28" s="19"/>
      <c r="AB28" s="20"/>
      <c r="AM28" s="20"/>
      <c r="AN28" s="20"/>
      <c r="AO28" s="20"/>
      <c r="AP28" s="20"/>
      <c r="AQ28" s="20"/>
      <c r="AR28" s="20"/>
      <c r="AS28" s="20"/>
    </row>
    <row r="29" spans="4:45" x14ac:dyDescent="0.2">
      <c r="D29" s="17" t="str">
        <f t="array" aca="1" ref="D29" ca="1">IFERROR(INDEX(MID(Sheets,FIND("]",Sheets)+1,255),SMALL(IF(MID(Sheets,FIND("]",Sheets)+1,255)&lt;&gt;MID(CELL("filename",A23),FIND("]",CELL("filename",A23))+1,255),ROW(INDIRECT("$A$1:$A$"&amp;COUNTA(MID(Sheets,FIND("]",Sheets)+1,255))))),ROW(23:23)),1),"")</f>
        <v/>
      </c>
      <c r="V29" s="19"/>
      <c r="W29" s="20"/>
      <c r="X29" s="20"/>
      <c r="Y29" s="20"/>
      <c r="Z29" s="20"/>
      <c r="AA29" s="19"/>
      <c r="AB29" s="20"/>
      <c r="AM29" s="20"/>
      <c r="AN29" s="20"/>
      <c r="AO29" s="20"/>
      <c r="AP29" s="20"/>
      <c r="AQ29" s="20"/>
      <c r="AR29" s="20"/>
      <c r="AS29" s="20"/>
    </row>
    <row r="30" spans="4:45" x14ac:dyDescent="0.2">
      <c r="D30" s="17" t="str">
        <f t="array" aca="1" ref="D30" ca="1">IFERROR(INDEX(MID(Sheets,FIND("]",Sheets)+1,255),SMALL(IF(MID(Sheets,FIND("]",Sheets)+1,255)&lt;&gt;MID(CELL("filename",A24),FIND("]",CELL("filename",A24))+1,255),ROW(INDIRECT("$A$1:$A$"&amp;COUNTA(MID(Sheets,FIND("]",Sheets)+1,255))))),ROW(24:24)),1),"")</f>
        <v/>
      </c>
      <c r="V30" s="19"/>
      <c r="W30" s="20"/>
      <c r="X30" s="20"/>
      <c r="Y30" s="20"/>
      <c r="Z30" s="20"/>
      <c r="AA30" s="19"/>
      <c r="AB30" s="20"/>
      <c r="AM30" s="20"/>
      <c r="AN30" s="20"/>
      <c r="AO30" s="20"/>
      <c r="AP30" s="20"/>
      <c r="AQ30" s="20"/>
      <c r="AR30" s="20"/>
      <c r="AS30" s="20"/>
    </row>
    <row r="31" spans="4:45" x14ac:dyDescent="0.2">
      <c r="D31" s="17" t="str">
        <f t="array" aca="1" ref="D31" ca="1">IFERROR(INDEX(MID(Sheets,FIND("]",Sheets)+1,255),SMALL(IF(MID(Sheets,FIND("]",Sheets)+1,255)&lt;&gt;MID(CELL("filename",A25),FIND("]",CELL("filename",A25))+1,255),ROW(INDIRECT("$A$1:$A$"&amp;COUNTA(MID(Sheets,FIND("]",Sheets)+1,255))))),ROW(25:25)),1),"")</f>
        <v/>
      </c>
      <c r="V31" s="19"/>
      <c r="W31" s="20"/>
      <c r="X31" s="20"/>
      <c r="Y31" s="20"/>
      <c r="Z31" s="20"/>
      <c r="AA31" s="19"/>
      <c r="AB31" s="20"/>
      <c r="AM31" s="20"/>
      <c r="AN31" s="20"/>
      <c r="AO31" s="20"/>
      <c r="AP31" s="20"/>
      <c r="AQ31" s="20"/>
      <c r="AR31" s="20"/>
      <c r="AS31" s="20"/>
    </row>
    <row r="32" spans="4:45" x14ac:dyDescent="0.2">
      <c r="D32" s="17" t="str">
        <f t="array" aca="1" ref="D32" ca="1">IFERROR(INDEX(MID(Sheets,FIND("]",Sheets)+1,255),SMALL(IF(MID(Sheets,FIND("]",Sheets)+1,255)&lt;&gt;MID(CELL("filename",A26),FIND("]",CELL("filename",A26))+1,255),ROW(INDIRECT("$A$1:$A$"&amp;COUNTA(MID(Sheets,FIND("]",Sheets)+1,255))))),ROW(26:26)),1),"")</f>
        <v/>
      </c>
      <c r="V32" s="19"/>
      <c r="W32" s="20"/>
      <c r="X32" s="20"/>
      <c r="Y32" s="20"/>
      <c r="Z32" s="20"/>
      <c r="AA32" s="19"/>
      <c r="AB32" s="20"/>
      <c r="AM32" s="20"/>
      <c r="AN32" s="20"/>
      <c r="AO32" s="20"/>
      <c r="AP32" s="20"/>
      <c r="AQ32" s="20"/>
      <c r="AR32" s="20"/>
      <c r="AS32" s="20"/>
    </row>
    <row r="33" spans="4:45" x14ac:dyDescent="0.2">
      <c r="D33" s="17" t="str">
        <f t="array" aca="1" ref="D33" ca="1">IFERROR(INDEX(MID(Sheets,FIND("]",Sheets)+1,255),SMALL(IF(MID(Sheets,FIND("]",Sheets)+1,255)&lt;&gt;MID(CELL("filename",A27),FIND("]",CELL("filename",A27))+1,255),ROW(INDIRECT("$A$1:$A$"&amp;COUNTA(MID(Sheets,FIND("]",Sheets)+1,255))))),ROW(27:27)),1),"")</f>
        <v/>
      </c>
      <c r="V33" s="19"/>
      <c r="W33" s="20"/>
      <c r="X33" s="20"/>
      <c r="Y33" s="20"/>
      <c r="Z33" s="20"/>
      <c r="AA33" s="19"/>
      <c r="AB33" s="20"/>
      <c r="AM33" s="20"/>
      <c r="AN33" s="20"/>
      <c r="AO33" s="20"/>
      <c r="AP33" s="20"/>
      <c r="AQ33" s="20"/>
      <c r="AR33" s="20"/>
      <c r="AS33" s="20"/>
    </row>
    <row r="34" spans="4:45" x14ac:dyDescent="0.2">
      <c r="D34" s="17" t="str">
        <f t="array" aca="1" ref="D34" ca="1">IFERROR(INDEX(MID(Sheets,FIND("]",Sheets)+1,255),SMALL(IF(MID(Sheets,FIND("]",Sheets)+1,255)&lt;&gt;MID(CELL("filename",A28),FIND("]",CELL("filename",A28))+1,255),ROW(INDIRECT("$A$1:$A$"&amp;COUNTA(MID(Sheets,FIND("]",Sheets)+1,255))))),ROW(28:28)),1),"")</f>
        <v/>
      </c>
      <c r="V34" s="19"/>
      <c r="W34" s="20"/>
      <c r="X34" s="20"/>
      <c r="Y34" s="20"/>
      <c r="Z34" s="20"/>
      <c r="AA34" s="19"/>
      <c r="AB34" s="20"/>
      <c r="AM34" s="20"/>
      <c r="AN34" s="20"/>
      <c r="AO34" s="20"/>
      <c r="AP34" s="20"/>
      <c r="AQ34" s="20"/>
      <c r="AR34" s="20"/>
      <c r="AS34" s="20"/>
    </row>
    <row r="35" spans="4:45" x14ac:dyDescent="0.2">
      <c r="D35" s="17" t="str">
        <f t="array" aca="1" ref="D35" ca="1">IFERROR(INDEX(MID(Sheets,FIND("]",Sheets)+1,255),SMALL(IF(MID(Sheets,FIND("]",Sheets)+1,255)&lt;&gt;MID(CELL("filename",A29),FIND("]",CELL("filename",A29))+1,255),ROW(INDIRECT("$A$1:$A$"&amp;COUNTA(MID(Sheets,FIND("]",Sheets)+1,255))))),ROW(29:29)),1),"")</f>
        <v/>
      </c>
      <c r="V35" s="19"/>
      <c r="W35" s="20"/>
      <c r="X35" s="20"/>
      <c r="Y35" s="20"/>
      <c r="Z35" s="20"/>
      <c r="AA35" s="19"/>
      <c r="AB35" s="20"/>
      <c r="AM35" s="20"/>
      <c r="AN35" s="20"/>
      <c r="AO35" s="20"/>
      <c r="AP35" s="20"/>
      <c r="AQ35" s="20"/>
      <c r="AR35" s="20"/>
      <c r="AS35" s="20"/>
    </row>
    <row r="36" spans="4:45" x14ac:dyDescent="0.2">
      <c r="D36" s="17" t="str">
        <f t="array" aca="1" ref="D36" ca="1">IFERROR(INDEX(MID(Sheets,FIND("]",Sheets)+1,255),SMALL(IF(MID(Sheets,FIND("]",Sheets)+1,255)&lt;&gt;MID(CELL("filename",A30),FIND("]",CELL("filename",A30))+1,255),ROW(INDIRECT("$A$1:$A$"&amp;COUNTA(MID(Sheets,FIND("]",Sheets)+1,255))))),ROW(30:30)),1),"")</f>
        <v/>
      </c>
      <c r="V36" s="19"/>
      <c r="W36" s="20"/>
      <c r="X36" s="20"/>
      <c r="Y36" s="20"/>
      <c r="Z36" s="20"/>
      <c r="AA36" s="19"/>
      <c r="AB36" s="20"/>
      <c r="AM36" s="20"/>
      <c r="AN36" s="20"/>
      <c r="AO36" s="20"/>
      <c r="AP36" s="20"/>
      <c r="AQ36" s="20"/>
      <c r="AR36" s="20"/>
      <c r="AS36" s="20"/>
    </row>
    <row r="37" spans="4:45" x14ac:dyDescent="0.2">
      <c r="D37" s="17" t="str">
        <f t="array" aca="1" ref="D37" ca="1">IFERROR(INDEX(MID(Sheets,FIND("]",Sheets)+1,255),SMALL(IF(MID(Sheets,FIND("]",Sheets)+1,255)&lt;&gt;MID(CELL("filename",A31),FIND("]",CELL("filename",A31))+1,255),ROW(INDIRECT("$A$1:$A$"&amp;COUNTA(MID(Sheets,FIND("]",Sheets)+1,255))))),ROW(31:31)),1),"")</f>
        <v/>
      </c>
      <c r="V37" s="19"/>
      <c r="W37" s="20"/>
      <c r="X37" s="20"/>
      <c r="Y37" s="20"/>
      <c r="Z37" s="20"/>
      <c r="AA37" s="19"/>
      <c r="AB37" s="20"/>
      <c r="AM37" s="20"/>
      <c r="AN37" s="20"/>
      <c r="AO37" s="20"/>
      <c r="AP37" s="20"/>
      <c r="AQ37" s="20"/>
      <c r="AR37" s="20"/>
      <c r="AS37" s="20"/>
    </row>
    <row r="38" spans="4:45" x14ac:dyDescent="0.2">
      <c r="D38" s="17" t="str">
        <f t="array" aca="1" ref="D38" ca="1">IFERROR(INDEX(MID(Sheets,FIND("]",Sheets)+1,255),SMALL(IF(MID(Sheets,FIND("]",Sheets)+1,255)&lt;&gt;MID(CELL("filename",A32),FIND("]",CELL("filename",A32))+1,255),ROW(INDIRECT("$A$1:$A$"&amp;COUNTA(MID(Sheets,FIND("]",Sheets)+1,255))))),ROW(32:32)),1),"")</f>
        <v/>
      </c>
      <c r="V38" s="19"/>
      <c r="W38" s="20"/>
      <c r="X38" s="20"/>
      <c r="Y38" s="20"/>
      <c r="Z38" s="20"/>
      <c r="AA38" s="19"/>
      <c r="AB38" s="20"/>
      <c r="AM38" s="20"/>
      <c r="AN38" s="20"/>
      <c r="AO38" s="20"/>
      <c r="AP38" s="20"/>
      <c r="AQ38" s="20"/>
      <c r="AR38" s="20"/>
      <c r="AS38" s="20"/>
    </row>
    <row r="39" spans="4:45" x14ac:dyDescent="0.2">
      <c r="D39" s="17" t="str">
        <f t="array" aca="1" ref="D39" ca="1">IFERROR(INDEX(MID(Sheets,FIND("]",Sheets)+1,255),SMALL(IF(MID(Sheets,FIND("]",Sheets)+1,255)&lt;&gt;MID(CELL("filename",A33),FIND("]",CELL("filename",A33))+1,255),ROW(INDIRECT("$A$1:$A$"&amp;COUNTA(MID(Sheets,FIND("]",Sheets)+1,255))))),ROW(33:33)),1),"")</f>
        <v/>
      </c>
      <c r="V39" s="19"/>
      <c r="W39" s="20"/>
      <c r="X39" s="20"/>
      <c r="Y39" s="20"/>
      <c r="Z39" s="20"/>
      <c r="AA39" s="19"/>
      <c r="AB39" s="20"/>
      <c r="AM39" s="20"/>
      <c r="AN39" s="20"/>
      <c r="AO39" s="20"/>
      <c r="AP39" s="20"/>
      <c r="AQ39" s="20"/>
      <c r="AR39" s="20"/>
      <c r="AS39" s="20"/>
    </row>
    <row r="40" spans="4:45" x14ac:dyDescent="0.2">
      <c r="D40" s="17" t="str">
        <f t="array" aca="1" ref="D40" ca="1">IFERROR(INDEX(MID(Sheets,FIND("]",Sheets)+1,255),SMALL(IF(MID(Sheets,FIND("]",Sheets)+1,255)&lt;&gt;MID(CELL("filename",A34),FIND("]",CELL("filename",A34))+1,255),ROW(INDIRECT("$A$1:$A$"&amp;COUNTA(MID(Sheets,FIND("]",Sheets)+1,255))))),ROW(34:34)),1),"")</f>
        <v/>
      </c>
      <c r="V40" s="19"/>
      <c r="W40" s="20"/>
      <c r="X40" s="20"/>
      <c r="Y40" s="20"/>
      <c r="Z40" s="20"/>
      <c r="AA40" s="19"/>
      <c r="AB40" s="20"/>
      <c r="AM40" s="20"/>
      <c r="AN40" s="20"/>
      <c r="AO40" s="20"/>
      <c r="AP40" s="20"/>
      <c r="AQ40" s="20"/>
      <c r="AR40" s="20"/>
      <c r="AS40" s="20"/>
    </row>
    <row r="41" spans="4:45" x14ac:dyDescent="0.2">
      <c r="D41" s="17" t="str">
        <f t="array" aca="1" ref="D41" ca="1">IFERROR(INDEX(MID(Sheets,FIND("]",Sheets)+1,255),SMALL(IF(MID(Sheets,FIND("]",Sheets)+1,255)&lt;&gt;MID(CELL("filename",A35),FIND("]",CELL("filename",A35))+1,255),ROW(INDIRECT("$A$1:$A$"&amp;COUNTA(MID(Sheets,FIND("]",Sheets)+1,255))))),ROW(35:35)),1),"")</f>
        <v/>
      </c>
      <c r="V41" s="19"/>
      <c r="W41" s="20"/>
      <c r="X41" s="20"/>
      <c r="Y41" s="20"/>
      <c r="Z41" s="20"/>
      <c r="AA41" s="19"/>
      <c r="AB41" s="20"/>
      <c r="AM41" s="20"/>
      <c r="AN41" s="20"/>
      <c r="AO41" s="20"/>
      <c r="AP41" s="20"/>
      <c r="AQ41" s="20"/>
      <c r="AR41" s="20"/>
      <c r="AS41" s="20"/>
    </row>
    <row r="42" spans="4:45" x14ac:dyDescent="0.2">
      <c r="D42" s="17" t="str">
        <f t="array" aca="1" ref="D42" ca="1">IFERROR(INDEX(MID(Sheets,FIND("]",Sheets)+1,255),SMALL(IF(MID(Sheets,FIND("]",Sheets)+1,255)&lt;&gt;MID(CELL("filename",A36),FIND("]",CELL("filename",A36))+1,255),ROW(INDIRECT("$A$1:$A$"&amp;COUNTA(MID(Sheets,FIND("]",Sheets)+1,255))))),ROW(36:36)),1),"")</f>
        <v/>
      </c>
      <c r="V42" s="19"/>
      <c r="W42" s="20"/>
      <c r="X42" s="20"/>
      <c r="Y42" s="20"/>
      <c r="Z42" s="20"/>
      <c r="AA42" s="19"/>
      <c r="AB42" s="20"/>
      <c r="AM42" s="20"/>
      <c r="AN42" s="20"/>
      <c r="AO42" s="20"/>
      <c r="AP42" s="20"/>
      <c r="AQ42" s="20"/>
      <c r="AR42" s="20"/>
      <c r="AS42" s="20"/>
    </row>
    <row r="43" spans="4:45" x14ac:dyDescent="0.2">
      <c r="D43" s="17" t="str">
        <f t="array" aca="1" ref="D43" ca="1">IFERROR(INDEX(MID(Sheets,FIND("]",Sheets)+1,255),SMALL(IF(MID(Sheets,FIND("]",Sheets)+1,255)&lt;&gt;MID(CELL("filename",A37),FIND("]",CELL("filename",A37))+1,255),ROW(INDIRECT("$A$1:$A$"&amp;COUNTA(MID(Sheets,FIND("]",Sheets)+1,255))))),ROW(37:37)),1),"")</f>
        <v/>
      </c>
      <c r="V43" s="19"/>
      <c r="W43" s="20"/>
      <c r="X43" s="20"/>
      <c r="Y43" s="20"/>
      <c r="Z43" s="20"/>
      <c r="AA43" s="19"/>
      <c r="AB43" s="20"/>
      <c r="AM43" s="20"/>
      <c r="AN43" s="20"/>
      <c r="AO43" s="20"/>
      <c r="AP43" s="20"/>
      <c r="AQ43" s="20"/>
      <c r="AR43" s="20"/>
      <c r="AS43" s="20"/>
    </row>
    <row r="44" spans="4:45" x14ac:dyDescent="0.2">
      <c r="D44" s="17" t="str">
        <f t="array" aca="1" ref="D44" ca="1">IFERROR(INDEX(MID(Sheets,FIND("]",Sheets)+1,255),SMALL(IF(MID(Sheets,FIND("]",Sheets)+1,255)&lt;&gt;MID(CELL("filename",A38),FIND("]",CELL("filename",A38))+1,255),ROW(INDIRECT("$A$1:$A$"&amp;COUNTA(MID(Sheets,FIND("]",Sheets)+1,255))))),ROW(38:38)),1),"")</f>
        <v/>
      </c>
    </row>
    <row r="45" spans="4:45" x14ac:dyDescent="0.2">
      <c r="D45" s="17" t="str">
        <f t="array" aca="1" ref="D45" ca="1">IFERROR(INDEX(MID(Sheets,FIND("]",Sheets)+1,255),SMALL(IF(MID(Sheets,FIND("]",Sheets)+1,255)&lt;&gt;MID(CELL("filename",A39),FIND("]",CELL("filename",A39))+1,255),ROW(INDIRECT("$A$1:$A$"&amp;COUNTA(MID(Sheets,FIND("]",Sheets)+1,255))))),ROW(39:39)),1),"")</f>
        <v/>
      </c>
    </row>
    <row r="46" spans="4:45" x14ac:dyDescent="0.2">
      <c r="D46" s="17" t="str">
        <f t="array" aca="1" ref="D46" ca="1">IFERROR(INDEX(MID(Sheets,FIND("]",Sheets)+1,255),SMALL(IF(MID(Sheets,FIND("]",Sheets)+1,255)&lt;&gt;MID(CELL("filename",A40),FIND("]",CELL("filename",A40))+1,255),ROW(INDIRECT("$A$1:$A$"&amp;COUNTA(MID(Sheets,FIND("]",Sheets)+1,255))))),ROW(40:40)),1),"")</f>
        <v/>
      </c>
    </row>
    <row r="47" spans="4:45" x14ac:dyDescent="0.2">
      <c r="D47" s="17" t="str">
        <f t="array" aca="1" ref="D47" ca="1">IFERROR(INDEX(MID(Sheets,FIND("]",Sheets)+1,255),SMALL(IF(MID(Sheets,FIND("]",Sheets)+1,255)&lt;&gt;MID(CELL("filename",A41),FIND("]",CELL("filename",A41))+1,255),ROW(INDIRECT("$A$1:$A$"&amp;COUNTA(MID(Sheets,FIND("]",Sheets)+1,255))))),ROW(41:41)),1),"")</f>
        <v/>
      </c>
    </row>
    <row r="48" spans="4:45" x14ac:dyDescent="0.2">
      <c r="D48" s="17" t="str">
        <f t="array" aca="1" ref="D48" ca="1">IFERROR(INDEX(MID(Sheets,FIND("]",Sheets)+1,255),SMALL(IF(MID(Sheets,FIND("]",Sheets)+1,255)&lt;&gt;MID(CELL("filename",A42),FIND("]",CELL("filename",A42))+1,255),ROW(INDIRECT("$A$1:$A$"&amp;COUNTA(MID(Sheets,FIND("]",Sheets)+1,255))))),ROW(42:42)),1),"")</f>
        <v/>
      </c>
    </row>
    <row r="49" spans="4:4" x14ac:dyDescent="0.2">
      <c r="D49" s="17" t="str">
        <f t="array" aca="1" ref="D49" ca="1">IFERROR(INDEX(MID(Sheets,FIND("]",Sheets)+1,255),SMALL(IF(MID(Sheets,FIND("]",Sheets)+1,255)&lt;&gt;MID(CELL("filename",A43),FIND("]",CELL("filename",A43))+1,255),ROW(INDIRECT("$A$1:$A$"&amp;COUNTA(MID(Sheets,FIND("]",Sheets)+1,255))))),ROW(43:43)),1),"")</f>
        <v/>
      </c>
    </row>
    <row r="50" spans="4:4" x14ac:dyDescent="0.2">
      <c r="D50" s="17" t="str">
        <f t="array" aca="1" ref="D50" ca="1">IFERROR(INDEX(MID(Sheets,FIND("]",Sheets)+1,255),SMALL(IF(MID(Sheets,FIND("]",Sheets)+1,255)&lt;&gt;MID(CELL("filename",A44),FIND("]",CELL("filename",A44))+1,255),ROW(INDIRECT("$A$1:$A$"&amp;COUNTA(MID(Sheets,FIND("]",Sheets)+1,255))))),ROW(44:44)),1),"")</f>
        <v/>
      </c>
    </row>
    <row r="51" spans="4:4" x14ac:dyDescent="0.2">
      <c r="D51" s="17" t="str">
        <f t="array" aca="1" ref="D51" ca="1">IFERROR(INDEX(MID(Sheets,FIND("]",Sheets)+1,255),SMALL(IF(MID(Sheets,FIND("]",Sheets)+1,255)&lt;&gt;MID(CELL("filename",A45),FIND("]",CELL("filename",A45))+1,255),ROW(INDIRECT("$A$1:$A$"&amp;COUNTA(MID(Sheets,FIND("]",Sheets)+1,255))))),ROW(45:45)),1),"")</f>
        <v/>
      </c>
    </row>
    <row r="52" spans="4:4" x14ac:dyDescent="0.2">
      <c r="D52" s="17" t="str">
        <f t="array" aca="1" ref="D52" ca="1">IFERROR(INDEX(MID(Sheets,FIND("]",Sheets)+1,255),SMALL(IF(MID(Sheets,FIND("]",Sheets)+1,255)&lt;&gt;MID(CELL("filename",A46),FIND("]",CELL("filename",A46))+1,255),ROW(INDIRECT("$A$1:$A$"&amp;COUNTA(MID(Sheets,FIND("]",Sheets)+1,255))))),ROW(46:46)),1),"")</f>
        <v/>
      </c>
    </row>
    <row r="53" spans="4:4" x14ac:dyDescent="0.2">
      <c r="D53" s="17" t="str">
        <f t="array" aca="1" ref="D53" ca="1">IFERROR(INDEX(MID(Sheets,FIND("]",Sheets)+1,255),SMALL(IF(MID(Sheets,FIND("]",Sheets)+1,255)&lt;&gt;MID(CELL("filename",A47),FIND("]",CELL("filename",A47))+1,255),ROW(INDIRECT("$A$1:$A$"&amp;COUNTA(MID(Sheets,FIND("]",Sheets)+1,255))))),ROW(47:47)),1),"")</f>
        <v/>
      </c>
    </row>
    <row r="54" spans="4:4" x14ac:dyDescent="0.2">
      <c r="D54" s="17" t="str">
        <f t="array" aca="1" ref="D54" ca="1">IFERROR(INDEX(MID(Sheets,FIND("]",Sheets)+1,255),SMALL(IF(MID(Sheets,FIND("]",Sheets)+1,255)&lt;&gt;MID(CELL("filename",A48),FIND("]",CELL("filename",A48))+1,255),ROW(INDIRECT("$A$1:$A$"&amp;COUNTA(MID(Sheets,FIND("]",Sheets)+1,255))))),ROW(48:48)),1),"")</f>
        <v/>
      </c>
    </row>
    <row r="55" spans="4:4" x14ac:dyDescent="0.2">
      <c r="D55" s="17" t="str">
        <f t="array" aca="1" ref="D55" ca="1">IFERROR(INDEX(MID(Sheets,FIND("]",Sheets)+1,255),SMALL(IF(MID(Sheets,FIND("]",Sheets)+1,255)&lt;&gt;MID(CELL("filename",A49),FIND("]",CELL("filename",A49))+1,255),ROW(INDIRECT("$A$1:$A$"&amp;COUNTA(MID(Sheets,FIND("]",Sheets)+1,255))))),ROW(49:49)),1),"")</f>
        <v/>
      </c>
    </row>
    <row r="56" spans="4:4" x14ac:dyDescent="0.2">
      <c r="D56" s="17" t="str">
        <f t="array" aca="1" ref="D56" ca="1">IFERROR(INDEX(MID(Sheets,FIND("]",Sheets)+1,255),SMALL(IF(MID(Sheets,FIND("]",Sheets)+1,255)&lt;&gt;MID(CELL("filename",A50),FIND("]",CELL("filename",A50))+1,255),ROW(INDIRECT("$A$1:$A$"&amp;COUNTA(MID(Sheets,FIND("]",Sheets)+1,255))))),ROW(50:50)),1),"")</f>
        <v/>
      </c>
    </row>
    <row r="57" spans="4:4" x14ac:dyDescent="0.2">
      <c r="D57" s="17" t="str">
        <f t="array" aca="1" ref="D57" ca="1">IFERROR(INDEX(MID(Sheets,FIND("]",Sheets)+1,255),SMALL(IF(MID(Sheets,FIND("]",Sheets)+1,255)&lt;&gt;MID(CELL("filename",A51),FIND("]",CELL("filename",A51))+1,255),ROW(INDIRECT("$A$1:$A$"&amp;COUNTA(MID(Sheets,FIND("]",Sheets)+1,255))))),ROW(51:51)),1),"")</f>
        <v/>
      </c>
    </row>
    <row r="58" spans="4:4" x14ac:dyDescent="0.2">
      <c r="D58" s="17" t="str">
        <f t="array" aca="1" ref="D58" ca="1">IFERROR(INDEX(MID(Sheets,FIND("]",Sheets)+1,255),SMALL(IF(MID(Sheets,FIND("]",Sheets)+1,255)&lt;&gt;MID(CELL("filename",A52),FIND("]",CELL("filename",A52))+1,255),ROW(INDIRECT("$A$1:$A$"&amp;COUNTA(MID(Sheets,FIND("]",Sheets)+1,255))))),ROW(52:52)),1),"")</f>
        <v/>
      </c>
    </row>
    <row r="59" spans="4:4" x14ac:dyDescent="0.2">
      <c r="D59" s="17" t="str">
        <f t="array" aca="1" ref="D59" ca="1">IFERROR(INDEX(MID(Sheets,FIND("]",Sheets)+1,255),SMALL(IF(MID(Sheets,FIND("]",Sheets)+1,255)&lt;&gt;MID(CELL("filename",A53),FIND("]",CELL("filename",A53))+1,255),ROW(INDIRECT("$A$1:$A$"&amp;COUNTA(MID(Sheets,FIND("]",Sheets)+1,255))))),ROW(53:53)),1),"")</f>
        <v/>
      </c>
    </row>
    <row r="60" spans="4:4" x14ac:dyDescent="0.2">
      <c r="D60" s="17" t="str">
        <f t="array" aca="1" ref="D60" ca="1">IFERROR(INDEX(MID(Sheets,FIND("]",Sheets)+1,255),SMALL(IF(MID(Sheets,FIND("]",Sheets)+1,255)&lt;&gt;MID(CELL("filename",A54),FIND("]",CELL("filename",A54))+1,255),ROW(INDIRECT("$A$1:$A$"&amp;COUNTA(MID(Sheets,FIND("]",Sheets)+1,255))))),ROW(54:54)),1),"")</f>
        <v/>
      </c>
    </row>
    <row r="61" spans="4:4" x14ac:dyDescent="0.2">
      <c r="D61" s="17" t="str">
        <f t="array" aca="1" ref="D61" ca="1">IFERROR(INDEX(MID(Sheets,FIND("]",Sheets)+1,255),SMALL(IF(MID(Sheets,FIND("]",Sheets)+1,255)&lt;&gt;MID(CELL("filename",A55),FIND("]",CELL("filename",A55))+1,255),ROW(INDIRECT("$A$1:$A$"&amp;COUNTA(MID(Sheets,FIND("]",Sheets)+1,255))))),ROW(55:55)),1),"")</f>
        <v/>
      </c>
    </row>
    <row r="62" spans="4:4" x14ac:dyDescent="0.2">
      <c r="D62" s="17" t="str">
        <f t="array" aca="1" ref="D62" ca="1">IFERROR(INDEX(MID(Sheets,FIND("]",Sheets)+1,255),SMALL(IF(MID(Sheets,FIND("]",Sheets)+1,255)&lt;&gt;MID(CELL("filename",A56),FIND("]",CELL("filename",A56))+1,255),ROW(INDIRECT("$A$1:$A$"&amp;COUNTA(MID(Sheets,FIND("]",Sheets)+1,255))))),ROW(56:56)),1),"")</f>
        <v/>
      </c>
    </row>
    <row r="63" spans="4:4" x14ac:dyDescent="0.2">
      <c r="D63" s="17" t="str">
        <f t="array" aca="1" ref="D63" ca="1">IFERROR(INDEX(MID(Sheets,FIND("]",Sheets)+1,255),SMALL(IF(MID(Sheets,FIND("]",Sheets)+1,255)&lt;&gt;MID(CELL("filename",A57),FIND("]",CELL("filename",A57))+1,255),ROW(INDIRECT("$A$1:$A$"&amp;COUNTA(MID(Sheets,FIND("]",Sheets)+1,255))))),ROW(57:57)),1),"")</f>
        <v/>
      </c>
    </row>
    <row r="64" spans="4:4" x14ac:dyDescent="0.2">
      <c r="D64" s="17" t="str">
        <f t="array" aca="1" ref="D64" ca="1">IFERROR(INDEX(MID(Sheets,FIND("]",Sheets)+1,255),SMALL(IF(MID(Sheets,FIND("]",Sheets)+1,255)&lt;&gt;MID(CELL("filename",A58),FIND("]",CELL("filename",A58))+1,255),ROW(INDIRECT("$A$1:$A$"&amp;COUNTA(MID(Sheets,FIND("]",Sheets)+1,255))))),ROW(58:58)),1),"")</f>
        <v/>
      </c>
    </row>
    <row r="65" spans="4:4" x14ac:dyDescent="0.2">
      <c r="D65" s="17" t="str">
        <f t="array" aca="1" ref="D65" ca="1">IFERROR(INDEX(MID(Sheets,FIND("]",Sheets)+1,255),SMALL(IF(MID(Sheets,FIND("]",Sheets)+1,255)&lt;&gt;MID(CELL("filename",A59),FIND("]",CELL("filename",A59))+1,255),ROW(INDIRECT("$A$1:$A$"&amp;COUNTA(MID(Sheets,FIND("]",Sheets)+1,255))))),ROW(59:59)),1),"")</f>
        <v/>
      </c>
    </row>
    <row r="66" spans="4:4" x14ac:dyDescent="0.2">
      <c r="D66" s="17" t="str">
        <f t="array" aca="1" ref="D66" ca="1">IFERROR(INDEX(MID(Sheets,FIND("]",Sheets)+1,255),SMALL(IF(MID(Sheets,FIND("]",Sheets)+1,255)&lt;&gt;MID(CELL("filename",A60),FIND("]",CELL("filename",A60))+1,255),ROW(INDIRECT("$A$1:$A$"&amp;COUNTA(MID(Sheets,FIND("]",Sheets)+1,255))))),ROW(60:60)),1),"")</f>
        <v/>
      </c>
    </row>
    <row r="67" spans="4:4" x14ac:dyDescent="0.2">
      <c r="D67" s="17" t="str">
        <f t="array" aca="1" ref="D67" ca="1">IFERROR(INDEX(MID(Sheets,FIND("]",Sheets)+1,255),SMALL(IF(MID(Sheets,FIND("]",Sheets)+1,255)&lt;&gt;MID(CELL("filename",A61),FIND("]",CELL("filename",A61))+1,255),ROW(INDIRECT("$A$1:$A$"&amp;COUNTA(MID(Sheets,FIND("]",Sheets)+1,255))))),ROW(61:61)),1),"")</f>
        <v/>
      </c>
    </row>
    <row r="68" spans="4:4" x14ac:dyDescent="0.2">
      <c r="D68" s="17" t="str">
        <f t="array" aca="1" ref="D68" ca="1">IFERROR(INDEX(MID(Sheets,FIND("]",Sheets)+1,255),SMALL(IF(MID(Sheets,FIND("]",Sheets)+1,255)&lt;&gt;MID(CELL("filename",A62),FIND("]",CELL("filename",A62))+1,255),ROW(INDIRECT("$A$1:$A$"&amp;COUNTA(MID(Sheets,FIND("]",Sheets)+1,255))))),ROW(62:62)),1),"")</f>
        <v/>
      </c>
    </row>
    <row r="69" spans="4:4" x14ac:dyDescent="0.2">
      <c r="D69" s="17" t="str">
        <f t="array" aca="1" ref="D69" ca="1">IFERROR(INDEX(MID(Sheets,FIND("]",Sheets)+1,255),SMALL(IF(MID(Sheets,FIND("]",Sheets)+1,255)&lt;&gt;MID(CELL("filename",A63),FIND("]",CELL("filename",A63))+1,255),ROW(INDIRECT("$A$1:$A$"&amp;COUNTA(MID(Sheets,FIND("]",Sheets)+1,255))))),ROW(63:63)),1),"")</f>
        <v/>
      </c>
    </row>
    <row r="70" spans="4:4" x14ac:dyDescent="0.2">
      <c r="D70" s="17" t="str">
        <f t="array" aca="1" ref="D70" ca="1">IFERROR(INDEX(MID(Sheets,FIND("]",Sheets)+1,255),SMALL(IF(MID(Sheets,FIND("]",Sheets)+1,255)&lt;&gt;MID(CELL("filename",A64),FIND("]",CELL("filename",A64))+1,255),ROW(INDIRECT("$A$1:$A$"&amp;COUNTA(MID(Sheets,FIND("]",Sheets)+1,255))))),ROW(64:64)),1),"")</f>
        <v/>
      </c>
    </row>
    <row r="71" spans="4:4" x14ac:dyDescent="0.2">
      <c r="D71" s="17" t="str">
        <f t="array" aca="1" ref="D71" ca="1">IFERROR(INDEX(MID(Sheets,FIND("]",Sheets)+1,255),SMALL(IF(MID(Sheets,FIND("]",Sheets)+1,255)&lt;&gt;MID(CELL("filename",A65),FIND("]",CELL("filename",A65))+1,255),ROW(INDIRECT("$A$1:$A$"&amp;COUNTA(MID(Sheets,FIND("]",Sheets)+1,255))))),ROW(65:65)),1),"")</f>
        <v/>
      </c>
    </row>
    <row r="72" spans="4:4" x14ac:dyDescent="0.2">
      <c r="D72" s="17" t="str">
        <f t="array" aca="1" ref="D72" ca="1">IFERROR(INDEX(MID(Sheets,FIND("]",Sheets)+1,255),SMALL(IF(MID(Sheets,FIND("]",Sheets)+1,255)&lt;&gt;MID(CELL("filename",A66),FIND("]",CELL("filename",A66))+1,255),ROW(INDIRECT("$A$1:$A$"&amp;COUNTA(MID(Sheets,FIND("]",Sheets)+1,255))))),ROW(66:66)),1),"")</f>
        <v/>
      </c>
    </row>
    <row r="73" spans="4:4" x14ac:dyDescent="0.2">
      <c r="D73" s="17" t="str">
        <f t="array" aca="1" ref="D73" ca="1">IFERROR(INDEX(MID(Sheets,FIND("]",Sheets)+1,255),SMALL(IF(MID(Sheets,FIND("]",Sheets)+1,255)&lt;&gt;MID(CELL("filename",A67),FIND("]",CELL("filename",A67))+1,255),ROW(INDIRECT("$A$1:$A$"&amp;COUNTA(MID(Sheets,FIND("]",Sheets)+1,255))))),ROW(67:67)),1),"")</f>
        <v/>
      </c>
    </row>
    <row r="74" spans="4:4" x14ac:dyDescent="0.2">
      <c r="D74" s="17" t="str">
        <f t="array" aca="1" ref="D74" ca="1">IFERROR(INDEX(MID(Sheets,FIND("]",Sheets)+1,255),SMALL(IF(MID(Sheets,FIND("]",Sheets)+1,255)&lt;&gt;MID(CELL("filename",A68),FIND("]",CELL("filename",A68))+1,255),ROW(INDIRECT("$A$1:$A$"&amp;COUNTA(MID(Sheets,FIND("]",Sheets)+1,255))))),ROW(68:68)),1),"")</f>
        <v/>
      </c>
    </row>
    <row r="75" spans="4:4" x14ac:dyDescent="0.2">
      <c r="D75" s="17" t="str">
        <f t="array" aca="1" ref="D75" ca="1">IFERROR(INDEX(MID(Sheets,FIND("]",Sheets)+1,255),SMALL(IF(MID(Sheets,FIND("]",Sheets)+1,255)&lt;&gt;MID(CELL("filename",A69),FIND("]",CELL("filename",A69))+1,255),ROW(INDIRECT("$A$1:$A$"&amp;COUNTA(MID(Sheets,FIND("]",Sheets)+1,255))))),ROW(69:69)),1),"")</f>
        <v/>
      </c>
    </row>
    <row r="76" spans="4:4" x14ac:dyDescent="0.2">
      <c r="D76" s="17" t="str">
        <f t="array" aca="1" ref="D76" ca="1">IFERROR(INDEX(MID(Sheets,FIND("]",Sheets)+1,255),SMALL(IF(MID(Sheets,FIND("]",Sheets)+1,255)&lt;&gt;MID(CELL("filename",A70),FIND("]",CELL("filename",A70))+1,255),ROW(INDIRECT("$A$1:$A$"&amp;COUNTA(MID(Sheets,FIND("]",Sheets)+1,255))))),ROW(70:70)),1),"")</f>
        <v/>
      </c>
    </row>
    <row r="77" spans="4:4" x14ac:dyDescent="0.2">
      <c r="D77" s="17" t="str">
        <f t="array" aca="1" ref="D77" ca="1">IFERROR(INDEX(MID(Sheets,FIND("]",Sheets)+1,255),SMALL(IF(MID(Sheets,FIND("]",Sheets)+1,255)&lt;&gt;MID(CELL("filename",A71),FIND("]",CELL("filename",A71))+1,255),ROW(INDIRECT("$A$1:$A$"&amp;COUNTA(MID(Sheets,FIND("]",Sheets)+1,255))))),ROW(71:71)),1),"")</f>
        <v/>
      </c>
    </row>
    <row r="78" spans="4:4" x14ac:dyDescent="0.2">
      <c r="D78" s="17" t="str">
        <f t="array" aca="1" ref="D78" ca="1">IFERROR(INDEX(MID(Sheets,FIND("]",Sheets)+1,255),SMALL(IF(MID(Sheets,FIND("]",Sheets)+1,255)&lt;&gt;MID(CELL("filename",A72),FIND("]",CELL("filename",A72))+1,255),ROW(INDIRECT("$A$1:$A$"&amp;COUNTA(MID(Sheets,FIND("]",Sheets)+1,255))))),ROW(72:72)),1),"")</f>
        <v/>
      </c>
    </row>
    <row r="79" spans="4:4" x14ac:dyDescent="0.2">
      <c r="D79" s="17" t="str">
        <f t="array" aca="1" ref="D79" ca="1">IFERROR(INDEX(MID(Sheets,FIND("]",Sheets)+1,255),SMALL(IF(MID(Sheets,FIND("]",Sheets)+1,255)&lt;&gt;MID(CELL("filename",A73),FIND("]",CELL("filename",A73))+1,255),ROW(INDIRECT("$A$1:$A$"&amp;COUNTA(MID(Sheets,FIND("]",Sheets)+1,255))))),ROW(73:73)),1),"")</f>
        <v/>
      </c>
    </row>
    <row r="80" spans="4:4" x14ac:dyDescent="0.2">
      <c r="D80" s="17" t="str">
        <f t="array" aca="1" ref="D80" ca="1">IFERROR(INDEX(MID(Sheets,FIND("]",Sheets)+1,255),SMALL(IF(MID(Sheets,FIND("]",Sheets)+1,255)&lt;&gt;MID(CELL("filename",A74),FIND("]",CELL("filename",A74))+1,255),ROW(INDIRECT("$A$1:$A$"&amp;COUNTA(MID(Sheets,FIND("]",Sheets)+1,255))))),ROW(74:74)),1),"")</f>
        <v/>
      </c>
    </row>
    <row r="81" spans="4:4" x14ac:dyDescent="0.2">
      <c r="D81" s="17" t="str">
        <f t="array" aca="1" ref="D81" ca="1">IFERROR(INDEX(MID(Sheets,FIND("]",Sheets)+1,255),SMALL(IF(MID(Sheets,FIND("]",Sheets)+1,255)&lt;&gt;MID(CELL("filename",A75),FIND("]",CELL("filename",A75))+1,255),ROW(INDIRECT("$A$1:$A$"&amp;COUNTA(MID(Sheets,FIND("]",Sheets)+1,255))))),ROW(75:75)),1),"")</f>
        <v/>
      </c>
    </row>
    <row r="82" spans="4:4" x14ac:dyDescent="0.2">
      <c r="D82" s="17" t="str">
        <f t="array" aca="1" ref="D82" ca="1">IFERROR(INDEX(MID(Sheets,FIND("]",Sheets)+1,255),SMALL(IF(MID(Sheets,FIND("]",Sheets)+1,255)&lt;&gt;MID(CELL("filename",A76),FIND("]",CELL("filename",A76))+1,255),ROW(INDIRECT("$A$1:$A$"&amp;COUNTA(MID(Sheets,FIND("]",Sheets)+1,255))))),ROW(76:76)),1),"")</f>
        <v/>
      </c>
    </row>
    <row r="83" spans="4:4" x14ac:dyDescent="0.2">
      <c r="D83" s="17" t="str">
        <f t="array" aca="1" ref="D83" ca="1">IFERROR(INDEX(MID(Sheets,FIND("]",Sheets)+1,255),SMALL(IF(MID(Sheets,FIND("]",Sheets)+1,255)&lt;&gt;MID(CELL("filename",A77),FIND("]",CELL("filename",A77))+1,255),ROW(INDIRECT("$A$1:$A$"&amp;COUNTA(MID(Sheets,FIND("]",Sheets)+1,255))))),ROW(77:77)),1),"")</f>
        <v/>
      </c>
    </row>
    <row r="84" spans="4:4" x14ac:dyDescent="0.2">
      <c r="D84" s="17" t="str">
        <f t="array" aca="1" ref="D84" ca="1">IFERROR(INDEX(MID(Sheets,FIND("]",Sheets)+1,255),SMALL(IF(MID(Sheets,FIND("]",Sheets)+1,255)&lt;&gt;MID(CELL("filename",A78),FIND("]",CELL("filename",A78))+1,255),ROW(INDIRECT("$A$1:$A$"&amp;COUNTA(MID(Sheets,FIND("]",Sheets)+1,255))))),ROW(78:78)),1),"")</f>
        <v/>
      </c>
    </row>
    <row r="85" spans="4:4" x14ac:dyDescent="0.2">
      <c r="D85" s="17" t="str">
        <f t="array" aca="1" ref="D85" ca="1">IFERROR(INDEX(MID(Sheets,FIND("]",Sheets)+1,255),SMALL(IF(MID(Sheets,FIND("]",Sheets)+1,255)&lt;&gt;MID(CELL("filename",A79),FIND("]",CELL("filename",A79))+1,255),ROW(INDIRECT("$A$1:$A$"&amp;COUNTA(MID(Sheets,FIND("]",Sheets)+1,255))))),ROW(79:79)),1),"")</f>
        <v/>
      </c>
    </row>
    <row r="86" spans="4:4" x14ac:dyDescent="0.2">
      <c r="D86" s="17" t="str">
        <f t="array" aca="1" ref="D86" ca="1">IFERROR(INDEX(MID(Sheets,FIND("]",Sheets)+1,255),SMALL(IF(MID(Sheets,FIND("]",Sheets)+1,255)&lt;&gt;MID(CELL("filename",A80),FIND("]",CELL("filename",A80))+1,255),ROW(INDIRECT("$A$1:$A$"&amp;COUNTA(MID(Sheets,FIND("]",Sheets)+1,255))))),ROW(80:80)),1),"")</f>
        <v/>
      </c>
    </row>
    <row r="87" spans="4:4" x14ac:dyDescent="0.2">
      <c r="D87" s="17" t="str">
        <f t="array" aca="1" ref="D87" ca="1">IFERROR(INDEX(MID(Sheets,FIND("]",Sheets)+1,255),SMALL(IF(MID(Sheets,FIND("]",Sheets)+1,255)&lt;&gt;MID(CELL("filename",A81),FIND("]",CELL("filename",A81))+1,255),ROW(INDIRECT("$A$1:$A$"&amp;COUNTA(MID(Sheets,FIND("]",Sheets)+1,255))))),ROW(81:81)),1),"")</f>
        <v/>
      </c>
    </row>
    <row r="88" spans="4:4" x14ac:dyDescent="0.2">
      <c r="D88" s="17" t="str">
        <f t="array" aca="1" ref="D88" ca="1">IFERROR(INDEX(MID(Sheets,FIND("]",Sheets)+1,255),SMALL(IF(MID(Sheets,FIND("]",Sheets)+1,255)&lt;&gt;MID(CELL("filename",A82),FIND("]",CELL("filename",A82))+1,255),ROW(INDIRECT("$A$1:$A$"&amp;COUNTA(MID(Sheets,FIND("]",Sheets)+1,255))))),ROW(82:82)),1),"")</f>
        <v/>
      </c>
    </row>
    <row r="89" spans="4:4" x14ac:dyDescent="0.2">
      <c r="D89" s="17" t="str">
        <f t="array" aca="1" ref="D89" ca="1">IFERROR(INDEX(MID(Sheets,FIND("]",Sheets)+1,255),SMALL(IF(MID(Sheets,FIND("]",Sheets)+1,255)&lt;&gt;MID(CELL("filename",A83),FIND("]",CELL("filename",A83))+1,255),ROW(INDIRECT("$A$1:$A$"&amp;COUNTA(MID(Sheets,FIND("]",Sheets)+1,255))))),ROW(83:83)),1),"")</f>
        <v/>
      </c>
    </row>
    <row r="90" spans="4:4" x14ac:dyDescent="0.2">
      <c r="D90" s="17" t="str">
        <f t="array" aca="1" ref="D90" ca="1">IFERROR(INDEX(MID(Sheets,FIND("]",Sheets)+1,255),SMALL(IF(MID(Sheets,FIND("]",Sheets)+1,255)&lt;&gt;MID(CELL("filename",A84),FIND("]",CELL("filename",A84))+1,255),ROW(INDIRECT("$A$1:$A$"&amp;COUNTA(MID(Sheets,FIND("]",Sheets)+1,255))))),ROW(84:84)),1),"")</f>
        <v/>
      </c>
    </row>
    <row r="91" spans="4:4" x14ac:dyDescent="0.2">
      <c r="D91" s="17" t="str">
        <f t="array" aca="1" ref="D91" ca="1">IFERROR(INDEX(MID(Sheets,FIND("]",Sheets)+1,255),SMALL(IF(MID(Sheets,FIND("]",Sheets)+1,255)&lt;&gt;MID(CELL("filename",A85),FIND("]",CELL("filename",A85))+1,255),ROW(INDIRECT("$A$1:$A$"&amp;COUNTA(MID(Sheets,FIND("]",Sheets)+1,255))))),ROW(85:85)),1),"")</f>
        <v/>
      </c>
    </row>
    <row r="92" spans="4:4" x14ac:dyDescent="0.2">
      <c r="D92" s="17" t="str">
        <f t="array" aca="1" ref="D92" ca="1">IFERROR(INDEX(MID(Sheets,FIND("]",Sheets)+1,255),SMALL(IF(MID(Sheets,FIND("]",Sheets)+1,255)&lt;&gt;MID(CELL("filename",A86),FIND("]",CELL("filename",A86))+1,255),ROW(INDIRECT("$A$1:$A$"&amp;COUNTA(MID(Sheets,FIND("]",Sheets)+1,255))))),ROW(86:86)),1),"")</f>
        <v/>
      </c>
    </row>
    <row r="93" spans="4:4" x14ac:dyDescent="0.2">
      <c r="D93" s="17" t="str">
        <f t="array" aca="1" ref="D93" ca="1">IFERROR(INDEX(MID(Sheets,FIND("]",Sheets)+1,255),SMALL(IF(MID(Sheets,FIND("]",Sheets)+1,255)&lt;&gt;MID(CELL("filename",A87),FIND("]",CELL("filename",A87))+1,255),ROW(INDIRECT("$A$1:$A$"&amp;COUNTA(MID(Sheets,FIND("]",Sheets)+1,255))))),ROW(87:87)),1),"")</f>
        <v/>
      </c>
    </row>
    <row r="94" spans="4:4" x14ac:dyDescent="0.2">
      <c r="D94" s="17" t="str">
        <f t="array" aca="1" ref="D94" ca="1">IFERROR(INDEX(MID(Sheets,FIND("]",Sheets)+1,255),SMALL(IF(MID(Sheets,FIND("]",Sheets)+1,255)&lt;&gt;MID(CELL("filename",A88),FIND("]",CELL("filename",A88))+1,255),ROW(INDIRECT("$A$1:$A$"&amp;COUNTA(MID(Sheets,FIND("]",Sheets)+1,255))))),ROW(88:88)),1),"")</f>
        <v/>
      </c>
    </row>
    <row r="95" spans="4:4" x14ac:dyDescent="0.2">
      <c r="D95" s="17" t="str">
        <f t="array" aca="1" ref="D95" ca="1">IFERROR(INDEX(MID(Sheets,FIND("]",Sheets)+1,255),SMALL(IF(MID(Sheets,FIND("]",Sheets)+1,255)&lt;&gt;MID(CELL("filename",A89),FIND("]",CELL("filename",A89))+1,255),ROW(INDIRECT("$A$1:$A$"&amp;COUNTA(MID(Sheets,FIND("]",Sheets)+1,255))))),ROW(89:89)),1),"")</f>
        <v/>
      </c>
    </row>
    <row r="96" spans="4:4" x14ac:dyDescent="0.2">
      <c r="D96" s="17" t="str">
        <f t="array" aca="1" ref="D96" ca="1">IFERROR(INDEX(MID(Sheets,FIND("]",Sheets)+1,255),SMALL(IF(MID(Sheets,FIND("]",Sheets)+1,255)&lt;&gt;MID(CELL("filename",A90),FIND("]",CELL("filename",A90))+1,255),ROW(INDIRECT("$A$1:$A$"&amp;COUNTA(MID(Sheets,FIND("]",Sheets)+1,255))))),ROW(90:90)),1),"")</f>
        <v/>
      </c>
    </row>
    <row r="97" spans="4:4" x14ac:dyDescent="0.2">
      <c r="D97" s="17" t="str">
        <f t="array" aca="1" ref="D97" ca="1">IFERROR(INDEX(MID(Sheets,FIND("]",Sheets)+1,255),SMALL(IF(MID(Sheets,FIND("]",Sheets)+1,255)&lt;&gt;MID(CELL("filename",A91),FIND("]",CELL("filename",A91))+1,255),ROW(INDIRECT("$A$1:$A$"&amp;COUNTA(MID(Sheets,FIND("]",Sheets)+1,255))))),ROW(91:91)),1),"")</f>
        <v/>
      </c>
    </row>
    <row r="98" spans="4:4" x14ac:dyDescent="0.2">
      <c r="D98" s="17" t="str">
        <f t="array" aca="1" ref="D98" ca="1">IFERROR(INDEX(MID(Sheets,FIND("]",Sheets)+1,255),SMALL(IF(MID(Sheets,FIND("]",Sheets)+1,255)&lt;&gt;MID(CELL("filename",A92),FIND("]",CELL("filename",A92))+1,255),ROW(INDIRECT("$A$1:$A$"&amp;COUNTA(MID(Sheets,FIND("]",Sheets)+1,255))))),ROW(92:92)),1),"")</f>
        <v/>
      </c>
    </row>
    <row r="99" spans="4:4" x14ac:dyDescent="0.2">
      <c r="D99" s="17" t="str">
        <f t="array" aca="1" ref="D99" ca="1">IFERROR(INDEX(MID(Sheets,FIND("]",Sheets)+1,255),SMALL(IF(MID(Sheets,FIND("]",Sheets)+1,255)&lt;&gt;MID(CELL("filename",A93),FIND("]",CELL("filename",A93))+1,255),ROW(INDIRECT("$A$1:$A$"&amp;COUNTA(MID(Sheets,FIND("]",Sheets)+1,255))))),ROW(93:93)),1),"")</f>
        <v/>
      </c>
    </row>
    <row r="100" spans="4:4" x14ac:dyDescent="0.2">
      <c r="D100" s="17" t="str">
        <f t="array" aca="1" ref="D100" ca="1">IFERROR(INDEX(MID(Sheets,FIND("]",Sheets)+1,255),SMALL(IF(MID(Sheets,FIND("]",Sheets)+1,255)&lt;&gt;MID(CELL("filename",A94),FIND("]",CELL("filename",A94))+1,255),ROW(INDIRECT("$A$1:$A$"&amp;COUNTA(MID(Sheets,FIND("]",Sheets)+1,255))))),ROW(94:94)),1),"")</f>
        <v/>
      </c>
    </row>
    <row r="101" spans="4:4" x14ac:dyDescent="0.2">
      <c r="D101" s="17" t="str">
        <f t="array" aca="1" ref="D101" ca="1">IFERROR(INDEX(MID(Sheets,FIND("]",Sheets)+1,255),SMALL(IF(MID(Sheets,FIND("]",Sheets)+1,255)&lt;&gt;MID(CELL("filename",A95),FIND("]",CELL("filename",A95))+1,255),ROW(INDIRECT("$A$1:$A$"&amp;COUNTA(MID(Sheets,FIND("]",Sheets)+1,255))))),ROW(95:95)),1),"")</f>
        <v/>
      </c>
    </row>
    <row r="102" spans="4:4" x14ac:dyDescent="0.2">
      <c r="D102" s="17" t="str">
        <f t="array" aca="1" ref="D102" ca="1">IFERROR(INDEX(MID(Sheets,FIND("]",Sheets)+1,255),SMALL(IF(MID(Sheets,FIND("]",Sheets)+1,255)&lt;&gt;MID(CELL("filename",A96),FIND("]",CELL("filename",A96))+1,255),ROW(INDIRECT("$A$1:$A$"&amp;COUNTA(MID(Sheets,FIND("]",Sheets)+1,255))))),ROW(96:96)),1),"")</f>
        <v/>
      </c>
    </row>
    <row r="103" spans="4:4" x14ac:dyDescent="0.2">
      <c r="D103" s="17" t="str">
        <f t="array" aca="1" ref="D103" ca="1">IFERROR(INDEX(MID(Sheets,FIND("]",Sheets)+1,255),SMALL(IF(MID(Sheets,FIND("]",Sheets)+1,255)&lt;&gt;MID(CELL("filename",A97),FIND("]",CELL("filename",A97))+1,255),ROW(INDIRECT("$A$1:$A$"&amp;COUNTA(MID(Sheets,FIND("]",Sheets)+1,255))))),ROW(97:97)),1),"")</f>
        <v/>
      </c>
    </row>
    <row r="104" spans="4:4" x14ac:dyDescent="0.2">
      <c r="D104" s="17" t="str">
        <f t="array" aca="1" ref="D104" ca="1">IFERROR(INDEX(MID(Sheets,FIND("]",Sheets)+1,255),SMALL(IF(MID(Sheets,FIND("]",Sheets)+1,255)&lt;&gt;MID(CELL("filename",A98),FIND("]",CELL("filename",A98))+1,255),ROW(INDIRECT("$A$1:$A$"&amp;COUNTA(MID(Sheets,FIND("]",Sheets)+1,255))))),ROW(98:98)),1),"")</f>
        <v/>
      </c>
    </row>
    <row r="105" spans="4:4" x14ac:dyDescent="0.2">
      <c r="D105" s="17" t="str">
        <f t="array" aca="1" ref="D105" ca="1">IFERROR(INDEX(MID(Sheets,FIND("]",Sheets)+1,255),SMALL(IF(MID(Sheets,FIND("]",Sheets)+1,255)&lt;&gt;MID(CELL("filename",A99),FIND("]",CELL("filename",A99))+1,255),ROW(INDIRECT("$A$1:$A$"&amp;COUNTA(MID(Sheets,FIND("]",Sheets)+1,255))))),ROW(99:99)),1),"")</f>
        <v/>
      </c>
    </row>
    <row r="106" spans="4:4" x14ac:dyDescent="0.2">
      <c r="D106" s="17" t="str">
        <f t="array" aca="1" ref="D106" ca="1">IFERROR(INDEX(MID(Sheets,FIND("]",Sheets)+1,255),SMALL(IF(MID(Sheets,FIND("]",Sheets)+1,255)&lt;&gt;MID(CELL("filename",A100),FIND("]",CELL("filename",A100))+1,255),ROW(INDIRECT("$A$1:$A$"&amp;COUNTA(MID(Sheets,FIND("]",Sheets)+1,255))))),ROW(100:100)),1),"")</f>
        <v/>
      </c>
    </row>
    <row r="107" spans="4:4" x14ac:dyDescent="0.2">
      <c r="D107" s="17" t="str">
        <f t="array" aca="1" ref="D107" ca="1">IFERROR(INDEX(MID(Sheets,FIND("]",Sheets)+1,255),SMALL(IF(MID(Sheets,FIND("]",Sheets)+1,255)&lt;&gt;MID(CELL("filename",A101),FIND("]",CELL("filename",A101))+1,255),ROW(INDIRECT("$A$1:$A$"&amp;COUNTA(MID(Sheets,FIND("]",Sheets)+1,255))))),ROW(101:101)),1),"")</f>
        <v/>
      </c>
    </row>
    <row r="108" spans="4:4" x14ac:dyDescent="0.2">
      <c r="D108" s="17" t="str">
        <f t="array" aca="1" ref="D108" ca="1">IFERROR(INDEX(MID(Sheets,FIND("]",Sheets)+1,255),SMALL(IF(MID(Sheets,FIND("]",Sheets)+1,255)&lt;&gt;MID(CELL("filename",A102),FIND("]",CELL("filename",A102))+1,255),ROW(INDIRECT("$A$1:$A$"&amp;COUNTA(MID(Sheets,FIND("]",Sheets)+1,255))))),ROW(102:102)),1),"")</f>
        <v/>
      </c>
    </row>
    <row r="109" spans="4:4" x14ac:dyDescent="0.2">
      <c r="D109" s="17" t="str">
        <f t="array" aca="1" ref="D109" ca="1">IFERROR(INDEX(MID(Sheets,FIND("]",Sheets)+1,255),SMALL(IF(MID(Sheets,FIND("]",Sheets)+1,255)&lt;&gt;MID(CELL("filename",A103),FIND("]",CELL("filename",A103))+1,255),ROW(INDIRECT("$A$1:$A$"&amp;COUNTA(MID(Sheets,FIND("]",Sheets)+1,255))))),ROW(103:103)),1),"")</f>
        <v/>
      </c>
    </row>
    <row r="110" spans="4:4" x14ac:dyDescent="0.2">
      <c r="D110" s="17" t="str">
        <f t="array" aca="1" ref="D110" ca="1">IFERROR(INDEX(MID(Sheets,FIND("]",Sheets)+1,255),SMALL(IF(MID(Sheets,FIND("]",Sheets)+1,255)&lt;&gt;MID(CELL("filename",A104),FIND("]",CELL("filename",A104))+1,255),ROW(INDIRECT("$A$1:$A$"&amp;COUNTA(MID(Sheets,FIND("]",Sheets)+1,255))))),ROW(104:104)),1),"")</f>
        <v/>
      </c>
    </row>
    <row r="111" spans="4:4" x14ac:dyDescent="0.2">
      <c r="D111" s="17" t="str">
        <f t="array" aca="1" ref="D111" ca="1">IFERROR(INDEX(MID(Sheets,FIND("]",Sheets)+1,255),SMALL(IF(MID(Sheets,FIND("]",Sheets)+1,255)&lt;&gt;MID(CELL("filename",A105),FIND("]",CELL("filename",A105))+1,255),ROW(INDIRECT("$A$1:$A$"&amp;COUNTA(MID(Sheets,FIND("]",Sheets)+1,255))))),ROW(105:105)),1),"")</f>
        <v/>
      </c>
    </row>
    <row r="112" spans="4:4" x14ac:dyDescent="0.2">
      <c r="D112" s="17" t="str">
        <f t="array" aca="1" ref="D112" ca="1">IFERROR(INDEX(MID(Sheets,FIND("]",Sheets)+1,255),SMALL(IF(MID(Sheets,FIND("]",Sheets)+1,255)&lt;&gt;MID(CELL("filename",A106),FIND("]",CELL("filename",A106))+1,255),ROW(INDIRECT("$A$1:$A$"&amp;COUNTA(MID(Sheets,FIND("]",Sheets)+1,255))))),ROW(106:106)),1),"")</f>
        <v/>
      </c>
    </row>
    <row r="113" spans="4:4" x14ac:dyDescent="0.2">
      <c r="D113" s="17" t="str">
        <f t="array" aca="1" ref="D113" ca="1">IFERROR(INDEX(MID(Sheets,FIND("]",Sheets)+1,255),SMALL(IF(MID(Sheets,FIND("]",Sheets)+1,255)&lt;&gt;MID(CELL("filename",A107),FIND("]",CELL("filename",A107))+1,255),ROW(INDIRECT("$A$1:$A$"&amp;COUNTA(MID(Sheets,FIND("]",Sheets)+1,255))))),ROW(107:107)),1),"")</f>
        <v/>
      </c>
    </row>
    <row r="114" spans="4:4" x14ac:dyDescent="0.2">
      <c r="D114" s="17" t="str">
        <f t="array" aca="1" ref="D114" ca="1">IFERROR(INDEX(MID(Sheets,FIND("]",Sheets)+1,255),SMALL(IF(MID(Sheets,FIND("]",Sheets)+1,255)&lt;&gt;MID(CELL("filename",A108),FIND("]",CELL("filename",A108))+1,255),ROW(INDIRECT("$A$1:$A$"&amp;COUNTA(MID(Sheets,FIND("]",Sheets)+1,255))))),ROW(108:108)),1),"")</f>
        <v/>
      </c>
    </row>
    <row r="115" spans="4:4" x14ac:dyDescent="0.2">
      <c r="D115" s="17" t="str">
        <f t="array" aca="1" ref="D115" ca="1">IFERROR(INDEX(MID(Sheets,FIND("]",Sheets)+1,255),SMALL(IF(MID(Sheets,FIND("]",Sheets)+1,255)&lt;&gt;MID(CELL("filename",A109),FIND("]",CELL("filename",A109))+1,255),ROW(INDIRECT("$A$1:$A$"&amp;COUNTA(MID(Sheets,FIND("]",Sheets)+1,255))))),ROW(109:109)),1),"")</f>
        <v/>
      </c>
    </row>
    <row r="116" spans="4:4" x14ac:dyDescent="0.2">
      <c r="D116" s="17" t="str">
        <f t="array" aca="1" ref="D116" ca="1">IFERROR(INDEX(MID(Sheets,FIND("]",Sheets)+1,255),SMALL(IF(MID(Sheets,FIND("]",Sheets)+1,255)&lt;&gt;MID(CELL("filename",A110),FIND("]",CELL("filename",A110))+1,255),ROW(INDIRECT("$A$1:$A$"&amp;COUNTA(MID(Sheets,FIND("]",Sheets)+1,255))))),ROW(110:110)),1),"")</f>
        <v/>
      </c>
    </row>
    <row r="117" spans="4:4" x14ac:dyDescent="0.2">
      <c r="D117" s="17" t="str">
        <f t="array" aca="1" ref="D117" ca="1">IFERROR(INDEX(MID(Sheets,FIND("]",Sheets)+1,255),SMALL(IF(MID(Sheets,FIND("]",Sheets)+1,255)&lt;&gt;MID(CELL("filename",A111),FIND("]",CELL("filename",A111))+1,255),ROW(INDIRECT("$A$1:$A$"&amp;COUNTA(MID(Sheets,FIND("]",Sheets)+1,255))))),ROW(111:111)),1),"")</f>
        <v/>
      </c>
    </row>
    <row r="118" spans="4:4" x14ac:dyDescent="0.2">
      <c r="D118" s="17" t="str">
        <f t="array" aca="1" ref="D118" ca="1">IFERROR(INDEX(MID(Sheets,FIND("]",Sheets)+1,255),SMALL(IF(MID(Sheets,FIND("]",Sheets)+1,255)&lt;&gt;MID(CELL("filename",A112),FIND("]",CELL("filename",A112))+1,255),ROW(INDIRECT("$A$1:$A$"&amp;COUNTA(MID(Sheets,FIND("]",Sheets)+1,255))))),ROW(112:112)),1),"")</f>
        <v/>
      </c>
    </row>
    <row r="119" spans="4:4" x14ac:dyDescent="0.2">
      <c r="D119" s="17" t="str">
        <f t="array" aca="1" ref="D119" ca="1">IFERROR(INDEX(MID(Sheets,FIND("]",Sheets)+1,255),SMALL(IF(MID(Sheets,FIND("]",Sheets)+1,255)&lt;&gt;MID(CELL("filename",A113),FIND("]",CELL("filename",A113))+1,255),ROW(INDIRECT("$A$1:$A$"&amp;COUNTA(MID(Sheets,FIND("]",Sheets)+1,255))))),ROW(113:113)),1),"")</f>
        <v/>
      </c>
    </row>
    <row r="120" spans="4:4" x14ac:dyDescent="0.2">
      <c r="D120" s="17" t="str">
        <f t="array" aca="1" ref="D120" ca="1">IFERROR(INDEX(MID(Sheets,FIND("]",Sheets)+1,255),SMALL(IF(MID(Sheets,FIND("]",Sheets)+1,255)&lt;&gt;MID(CELL("filename",A114),FIND("]",CELL("filename",A114))+1,255),ROW(INDIRECT("$A$1:$A$"&amp;COUNTA(MID(Sheets,FIND("]",Sheets)+1,255))))),ROW(114:114)),1),"")</f>
        <v/>
      </c>
    </row>
    <row r="121" spans="4:4" x14ac:dyDescent="0.2">
      <c r="D121" s="17" t="str">
        <f t="array" aca="1" ref="D121" ca="1">IFERROR(INDEX(MID(Sheets,FIND("]",Sheets)+1,255),SMALL(IF(MID(Sheets,FIND("]",Sheets)+1,255)&lt;&gt;MID(CELL("filename",A115),FIND("]",CELL("filename",A115))+1,255),ROW(INDIRECT("$A$1:$A$"&amp;COUNTA(MID(Sheets,FIND("]",Sheets)+1,255))))),ROW(115:115)),1),"")</f>
        <v/>
      </c>
    </row>
    <row r="122" spans="4:4" x14ac:dyDescent="0.2">
      <c r="D122" s="17" t="str">
        <f t="array" aca="1" ref="D122" ca="1">IFERROR(INDEX(MID(Sheets,FIND("]",Sheets)+1,255),SMALL(IF(MID(Sheets,FIND("]",Sheets)+1,255)&lt;&gt;MID(CELL("filename",A116),FIND("]",CELL("filename",A116))+1,255),ROW(INDIRECT("$A$1:$A$"&amp;COUNTA(MID(Sheets,FIND("]",Sheets)+1,255))))),ROW(116:116)),1),"")</f>
        <v/>
      </c>
    </row>
    <row r="123" spans="4:4" x14ac:dyDescent="0.2">
      <c r="D123" s="17" t="str">
        <f t="array" aca="1" ref="D123" ca="1">IFERROR(INDEX(MID(Sheets,FIND("]",Sheets)+1,255),SMALL(IF(MID(Sheets,FIND("]",Sheets)+1,255)&lt;&gt;MID(CELL("filename",A117),FIND("]",CELL("filename",A117))+1,255),ROW(INDIRECT("$A$1:$A$"&amp;COUNTA(MID(Sheets,FIND("]",Sheets)+1,255))))),ROW(117:117)),1),"")</f>
        <v/>
      </c>
    </row>
    <row r="124" spans="4:4" x14ac:dyDescent="0.2">
      <c r="D124" s="17" t="str">
        <f t="array" aca="1" ref="D124" ca="1">IFERROR(INDEX(MID(Sheets,FIND("]",Sheets)+1,255),SMALL(IF(MID(Sheets,FIND("]",Sheets)+1,255)&lt;&gt;MID(CELL("filename",A118),FIND("]",CELL("filename",A118))+1,255),ROW(INDIRECT("$A$1:$A$"&amp;COUNTA(MID(Sheets,FIND("]",Sheets)+1,255))))),ROW(118:118)),1),"")</f>
        <v/>
      </c>
    </row>
    <row r="125" spans="4:4" x14ac:dyDescent="0.2">
      <c r="D125" s="17" t="str">
        <f t="array" aca="1" ref="D125" ca="1">IFERROR(INDEX(MID(Sheets,FIND("]",Sheets)+1,255),SMALL(IF(MID(Sheets,FIND("]",Sheets)+1,255)&lt;&gt;MID(CELL("filename",A119),FIND("]",CELL("filename",A119))+1,255),ROW(INDIRECT("$A$1:$A$"&amp;COUNTA(MID(Sheets,FIND("]",Sheets)+1,255))))),ROW(119:119)),1),"")</f>
        <v/>
      </c>
    </row>
    <row r="126" spans="4:4" x14ac:dyDescent="0.2">
      <c r="D126" s="17" t="str">
        <f t="array" aca="1" ref="D126" ca="1">IFERROR(INDEX(MID(Sheets,FIND("]",Sheets)+1,255),SMALL(IF(MID(Sheets,FIND("]",Sheets)+1,255)&lt;&gt;MID(CELL("filename",A120),FIND("]",CELL("filename",A120))+1,255),ROW(INDIRECT("$A$1:$A$"&amp;COUNTA(MID(Sheets,FIND("]",Sheets)+1,255))))),ROW(120:120)),1),"")</f>
        <v/>
      </c>
    </row>
    <row r="127" spans="4:4" x14ac:dyDescent="0.2">
      <c r="D127" s="17" t="str">
        <f t="array" aca="1" ref="D127" ca="1">IFERROR(INDEX(MID(Sheets,FIND("]",Sheets)+1,255),SMALL(IF(MID(Sheets,FIND("]",Sheets)+1,255)&lt;&gt;MID(CELL("filename",A121),FIND("]",CELL("filename",A121))+1,255),ROW(INDIRECT("$A$1:$A$"&amp;COUNTA(MID(Sheets,FIND("]",Sheets)+1,255))))),ROW(121:121)),1),"")</f>
        <v/>
      </c>
    </row>
    <row r="128" spans="4:4" x14ac:dyDescent="0.2">
      <c r="D128" s="17" t="str">
        <f t="array" aca="1" ref="D128" ca="1">IFERROR(INDEX(MID(Sheets,FIND("]",Sheets)+1,255),SMALL(IF(MID(Sheets,FIND("]",Sheets)+1,255)&lt;&gt;MID(CELL("filename",A122),FIND("]",CELL("filename",A122))+1,255),ROW(INDIRECT("$A$1:$A$"&amp;COUNTA(MID(Sheets,FIND("]",Sheets)+1,255))))),ROW(122:122)),1),"")</f>
        <v/>
      </c>
    </row>
    <row r="129" spans="4:4" x14ac:dyDescent="0.2">
      <c r="D129" s="17" t="str">
        <f t="array" aca="1" ref="D129" ca="1">IFERROR(INDEX(MID(Sheets,FIND("]",Sheets)+1,255),SMALL(IF(MID(Sheets,FIND("]",Sheets)+1,255)&lt;&gt;MID(CELL("filename",A123),FIND("]",CELL("filename",A123))+1,255),ROW(INDIRECT("$A$1:$A$"&amp;COUNTA(MID(Sheets,FIND("]",Sheets)+1,255))))),ROW(123:123)),1),"")</f>
        <v/>
      </c>
    </row>
    <row r="130" spans="4:4" x14ac:dyDescent="0.2">
      <c r="D130" s="17" t="str">
        <f t="array" aca="1" ref="D130" ca="1">IFERROR(INDEX(MID(Sheets,FIND("]",Sheets)+1,255),SMALL(IF(MID(Sheets,FIND("]",Sheets)+1,255)&lt;&gt;MID(CELL("filename",A124),FIND("]",CELL("filename",A124))+1,255),ROW(INDIRECT("$A$1:$A$"&amp;COUNTA(MID(Sheets,FIND("]",Sheets)+1,255))))),ROW(124:124)),1),"")</f>
        <v/>
      </c>
    </row>
    <row r="131" spans="4:4" x14ac:dyDescent="0.2">
      <c r="D131" s="17" t="str">
        <f t="array" aca="1" ref="D131" ca="1">IFERROR(INDEX(MID(Sheets,FIND("]",Sheets)+1,255),SMALL(IF(MID(Sheets,FIND("]",Sheets)+1,255)&lt;&gt;MID(CELL("filename",A125),FIND("]",CELL("filename",A125))+1,255),ROW(INDIRECT("$A$1:$A$"&amp;COUNTA(MID(Sheets,FIND("]",Sheets)+1,255))))),ROW(125:125)),1),"")</f>
        <v/>
      </c>
    </row>
    <row r="132" spans="4:4" x14ac:dyDescent="0.2">
      <c r="D132" s="17" t="str">
        <f t="array" aca="1" ref="D132" ca="1">IFERROR(INDEX(MID(Sheets,FIND("]",Sheets)+1,255),SMALL(IF(MID(Sheets,FIND("]",Sheets)+1,255)&lt;&gt;MID(CELL("filename",A126),FIND("]",CELL("filename",A126))+1,255),ROW(INDIRECT("$A$1:$A$"&amp;COUNTA(MID(Sheets,FIND("]",Sheets)+1,255))))),ROW(126:126)),1),"")</f>
        <v/>
      </c>
    </row>
    <row r="133" spans="4:4" x14ac:dyDescent="0.2">
      <c r="D133" s="17" t="str">
        <f t="array" aca="1" ref="D133" ca="1">IFERROR(INDEX(MID(Sheets,FIND("]",Sheets)+1,255),SMALL(IF(MID(Sheets,FIND("]",Sheets)+1,255)&lt;&gt;MID(CELL("filename",A127),FIND("]",CELL("filename",A127))+1,255),ROW(INDIRECT("$A$1:$A$"&amp;COUNTA(MID(Sheets,FIND("]",Sheets)+1,255))))),ROW(127:127)),1),"")</f>
        <v/>
      </c>
    </row>
    <row r="134" spans="4:4" x14ac:dyDescent="0.2">
      <c r="D134" s="17" t="str">
        <f t="array" aca="1" ref="D134" ca="1">IFERROR(INDEX(MID(Sheets,FIND("]",Sheets)+1,255),SMALL(IF(MID(Sheets,FIND("]",Sheets)+1,255)&lt;&gt;MID(CELL("filename",A128),FIND("]",CELL("filename",A128))+1,255),ROW(INDIRECT("$A$1:$A$"&amp;COUNTA(MID(Sheets,FIND("]",Sheets)+1,255))))),ROW(128:128)),1),"")</f>
        <v/>
      </c>
    </row>
    <row r="135" spans="4:4" x14ac:dyDescent="0.2">
      <c r="D135" s="17" t="str">
        <f t="array" aca="1" ref="D135" ca="1">IFERROR(INDEX(MID(Sheets,FIND("]",Sheets)+1,255),SMALL(IF(MID(Sheets,FIND("]",Sheets)+1,255)&lt;&gt;MID(CELL("filename",A129),FIND("]",CELL("filename",A129))+1,255),ROW(INDIRECT("$A$1:$A$"&amp;COUNTA(MID(Sheets,FIND("]",Sheets)+1,255))))),ROW(129:129)),1),"")</f>
        <v/>
      </c>
    </row>
    <row r="136" spans="4:4" x14ac:dyDescent="0.2">
      <c r="D136" s="17" t="str">
        <f t="array" aca="1" ref="D136" ca="1">IFERROR(INDEX(MID(Sheets,FIND("]",Sheets)+1,255),SMALL(IF(MID(Sheets,FIND("]",Sheets)+1,255)&lt;&gt;MID(CELL("filename",A130),FIND("]",CELL("filename",A130))+1,255),ROW(INDIRECT("$A$1:$A$"&amp;COUNTA(MID(Sheets,FIND("]",Sheets)+1,255))))),ROW(130:130)),1),"")</f>
        <v/>
      </c>
    </row>
    <row r="137" spans="4:4" x14ac:dyDescent="0.2">
      <c r="D137" s="17" t="str">
        <f t="array" aca="1" ref="D137" ca="1">IFERROR(INDEX(MID(Sheets,FIND("]",Sheets)+1,255),SMALL(IF(MID(Sheets,FIND("]",Sheets)+1,255)&lt;&gt;MID(CELL("filename",A131),FIND("]",CELL("filename",A131))+1,255),ROW(INDIRECT("$A$1:$A$"&amp;COUNTA(MID(Sheets,FIND("]",Sheets)+1,255))))),ROW(131:131)),1),"")</f>
        <v/>
      </c>
    </row>
    <row r="138" spans="4:4" x14ac:dyDescent="0.2">
      <c r="D138" s="17" t="str">
        <f t="array" aca="1" ref="D138" ca="1">IFERROR(INDEX(MID(Sheets,FIND("]",Sheets)+1,255),SMALL(IF(MID(Sheets,FIND("]",Sheets)+1,255)&lt;&gt;MID(CELL("filename",A132),FIND("]",CELL("filename",A132))+1,255),ROW(INDIRECT("$A$1:$A$"&amp;COUNTA(MID(Sheets,FIND("]",Sheets)+1,255))))),ROW(132:132)),1),"")</f>
        <v/>
      </c>
    </row>
    <row r="139" spans="4:4" x14ac:dyDescent="0.2">
      <c r="D139" s="17" t="str">
        <f t="array" aca="1" ref="D139" ca="1">IFERROR(INDEX(MID(Sheets,FIND("]",Sheets)+1,255),SMALL(IF(MID(Sheets,FIND("]",Sheets)+1,255)&lt;&gt;MID(CELL("filename",A133),FIND("]",CELL("filename",A133))+1,255),ROW(INDIRECT("$A$1:$A$"&amp;COUNTA(MID(Sheets,FIND("]",Sheets)+1,255))))),ROW(133:133)),1),"")</f>
        <v/>
      </c>
    </row>
    <row r="140" spans="4:4" x14ac:dyDescent="0.2">
      <c r="D140" s="17" t="str">
        <f t="array" aca="1" ref="D140" ca="1">IFERROR(INDEX(MID(Sheets,FIND("]",Sheets)+1,255),SMALL(IF(MID(Sheets,FIND("]",Sheets)+1,255)&lt;&gt;MID(CELL("filename",A134),FIND("]",CELL("filename",A134))+1,255),ROW(INDIRECT("$A$1:$A$"&amp;COUNTA(MID(Sheets,FIND("]",Sheets)+1,255))))),ROW(134:134)),1),"")</f>
        <v/>
      </c>
    </row>
    <row r="141" spans="4:4" x14ac:dyDescent="0.2">
      <c r="D141" s="17" t="str">
        <f t="array" aca="1" ref="D141" ca="1">IFERROR(INDEX(MID(Sheets,FIND("]",Sheets)+1,255),SMALL(IF(MID(Sheets,FIND("]",Sheets)+1,255)&lt;&gt;MID(CELL("filename",A135),FIND("]",CELL("filename",A135))+1,255),ROW(INDIRECT("$A$1:$A$"&amp;COUNTA(MID(Sheets,FIND("]",Sheets)+1,255))))),ROW(135:135)),1),"")</f>
        <v/>
      </c>
    </row>
    <row r="142" spans="4:4" x14ac:dyDescent="0.2">
      <c r="D142" s="17" t="str">
        <f t="array" aca="1" ref="D142" ca="1">IFERROR(INDEX(MID(Sheets,FIND("]",Sheets)+1,255),SMALL(IF(MID(Sheets,FIND("]",Sheets)+1,255)&lt;&gt;MID(CELL("filename",A136),FIND("]",CELL("filename",A136))+1,255),ROW(INDIRECT("$A$1:$A$"&amp;COUNTA(MID(Sheets,FIND("]",Sheets)+1,255))))),ROW(136:136)),1),"")</f>
        <v/>
      </c>
    </row>
    <row r="143" spans="4:4" x14ac:dyDescent="0.2">
      <c r="D143" s="17" t="str">
        <f t="array" aca="1" ref="D143" ca="1">IFERROR(INDEX(MID(Sheets,FIND("]",Sheets)+1,255),SMALL(IF(MID(Sheets,FIND("]",Sheets)+1,255)&lt;&gt;MID(CELL("filename",A137),FIND("]",CELL("filename",A137))+1,255),ROW(INDIRECT("$A$1:$A$"&amp;COUNTA(MID(Sheets,FIND("]",Sheets)+1,255))))),ROW(137:137)),1),"")</f>
        <v/>
      </c>
    </row>
    <row r="144" spans="4:4" x14ac:dyDescent="0.2">
      <c r="D144" s="17" t="str">
        <f t="array" aca="1" ref="D144" ca="1">IFERROR(INDEX(MID(Sheets,FIND("]",Sheets)+1,255),SMALL(IF(MID(Sheets,FIND("]",Sheets)+1,255)&lt;&gt;MID(CELL("filename",A138),FIND("]",CELL("filename",A138))+1,255),ROW(INDIRECT("$A$1:$A$"&amp;COUNTA(MID(Sheets,FIND("]",Sheets)+1,255))))),ROW(138:138)),1),"")</f>
        <v/>
      </c>
    </row>
    <row r="145" spans="4:4" x14ac:dyDescent="0.2">
      <c r="D145" s="17" t="str">
        <f t="array" aca="1" ref="D145" ca="1">IFERROR(INDEX(MID(Sheets,FIND("]",Sheets)+1,255),SMALL(IF(MID(Sheets,FIND("]",Sheets)+1,255)&lt;&gt;MID(CELL("filename",A139),FIND("]",CELL("filename",A139))+1,255),ROW(INDIRECT("$A$1:$A$"&amp;COUNTA(MID(Sheets,FIND("]",Sheets)+1,255))))),ROW(139:139)),1),"")</f>
        <v/>
      </c>
    </row>
    <row r="146" spans="4:4" x14ac:dyDescent="0.2">
      <c r="D146" s="17" t="str">
        <f t="array" aca="1" ref="D146" ca="1">IFERROR(INDEX(MID(Sheets,FIND("]",Sheets)+1,255),SMALL(IF(MID(Sheets,FIND("]",Sheets)+1,255)&lt;&gt;MID(CELL("filename",A140),FIND("]",CELL("filename",A140))+1,255),ROW(INDIRECT("$A$1:$A$"&amp;COUNTA(MID(Sheets,FIND("]",Sheets)+1,255))))),ROW(140:140)),1),"")</f>
        <v/>
      </c>
    </row>
    <row r="147" spans="4:4" x14ac:dyDescent="0.2">
      <c r="D147" s="17" t="str">
        <f t="array" aca="1" ref="D147" ca="1">IFERROR(INDEX(MID(Sheets,FIND("]",Sheets)+1,255),SMALL(IF(MID(Sheets,FIND("]",Sheets)+1,255)&lt;&gt;MID(CELL("filename",A141),FIND("]",CELL("filename",A141))+1,255),ROW(INDIRECT("$A$1:$A$"&amp;COUNTA(MID(Sheets,FIND("]",Sheets)+1,255))))),ROW(141:141)),1),"")</f>
        <v/>
      </c>
    </row>
    <row r="148" spans="4:4" x14ac:dyDescent="0.2">
      <c r="D148" s="17" t="str">
        <f t="array" aca="1" ref="D148" ca="1">IFERROR(INDEX(MID(Sheets,FIND("]",Sheets)+1,255),SMALL(IF(MID(Sheets,FIND("]",Sheets)+1,255)&lt;&gt;MID(CELL("filename",A142),FIND("]",CELL("filename",A142))+1,255),ROW(INDIRECT("$A$1:$A$"&amp;COUNTA(MID(Sheets,FIND("]",Sheets)+1,255))))),ROW(142:142)),1),"")</f>
        <v/>
      </c>
    </row>
    <row r="149" spans="4:4" x14ac:dyDescent="0.2">
      <c r="D149" s="17" t="str">
        <f t="array" aca="1" ref="D149" ca="1">IFERROR(INDEX(MID(Sheets,FIND("]",Sheets)+1,255),SMALL(IF(MID(Sheets,FIND("]",Sheets)+1,255)&lt;&gt;MID(CELL("filename",A143),FIND("]",CELL("filename",A143))+1,255),ROW(INDIRECT("$A$1:$A$"&amp;COUNTA(MID(Sheets,FIND("]",Sheets)+1,255))))),ROW(143:143)),1),"")</f>
        <v/>
      </c>
    </row>
    <row r="150" spans="4:4" x14ac:dyDescent="0.2">
      <c r="D150" s="17" t="str">
        <f t="array" aca="1" ref="D150" ca="1">IFERROR(INDEX(MID(Sheets,FIND("]",Sheets)+1,255),SMALL(IF(MID(Sheets,FIND("]",Sheets)+1,255)&lt;&gt;MID(CELL("filename",A144),FIND("]",CELL("filename",A144))+1,255),ROW(INDIRECT("$A$1:$A$"&amp;COUNTA(MID(Sheets,FIND("]",Sheets)+1,255))))),ROW(144:144)),1),"")</f>
        <v/>
      </c>
    </row>
    <row r="151" spans="4:4" x14ac:dyDescent="0.2">
      <c r="D151" s="17" t="str">
        <f t="array" aca="1" ref="D151" ca="1">IFERROR(INDEX(MID(Sheets,FIND("]",Sheets)+1,255),SMALL(IF(MID(Sheets,FIND("]",Sheets)+1,255)&lt;&gt;MID(CELL("filename",A145),FIND("]",CELL("filename",A145))+1,255),ROW(INDIRECT("$A$1:$A$"&amp;COUNTA(MID(Sheets,FIND("]",Sheets)+1,255))))),ROW(145:145)),1),"")</f>
        <v/>
      </c>
    </row>
    <row r="152" spans="4:4" x14ac:dyDescent="0.2">
      <c r="D152" s="17" t="str">
        <f t="array" aca="1" ref="D152" ca="1">IFERROR(INDEX(MID(Sheets,FIND("]",Sheets)+1,255),SMALL(IF(MID(Sheets,FIND("]",Sheets)+1,255)&lt;&gt;MID(CELL("filename",A146),FIND("]",CELL("filename",A146))+1,255),ROW(INDIRECT("$A$1:$A$"&amp;COUNTA(MID(Sheets,FIND("]",Sheets)+1,255))))),ROW(146:146)),1),"")</f>
        <v/>
      </c>
    </row>
    <row r="153" spans="4:4" x14ac:dyDescent="0.2">
      <c r="D153" s="17" t="str">
        <f t="array" aca="1" ref="D153" ca="1">IFERROR(INDEX(MID(Sheets,FIND("]",Sheets)+1,255),SMALL(IF(MID(Sheets,FIND("]",Sheets)+1,255)&lt;&gt;MID(CELL("filename",A147),FIND("]",CELL("filename",A147))+1,255),ROW(INDIRECT("$A$1:$A$"&amp;COUNTA(MID(Sheets,FIND("]",Sheets)+1,255))))),ROW(147:147)),1),"")</f>
        <v/>
      </c>
    </row>
    <row r="154" spans="4:4" x14ac:dyDescent="0.2">
      <c r="D154" s="17" t="str">
        <f t="array" aca="1" ref="D154" ca="1">IFERROR(INDEX(MID(Sheets,FIND("]",Sheets)+1,255),SMALL(IF(MID(Sheets,FIND("]",Sheets)+1,255)&lt;&gt;MID(CELL("filename",A148),FIND("]",CELL("filename",A148))+1,255),ROW(INDIRECT("$A$1:$A$"&amp;COUNTA(MID(Sheets,FIND("]",Sheets)+1,255))))),ROW(148:148)),1),"")</f>
        <v/>
      </c>
    </row>
    <row r="155" spans="4:4" x14ac:dyDescent="0.2">
      <c r="D155" s="17" t="str">
        <f t="array" aca="1" ref="D155" ca="1">IFERROR(INDEX(MID(Sheets,FIND("]",Sheets)+1,255),SMALL(IF(MID(Sheets,FIND("]",Sheets)+1,255)&lt;&gt;MID(CELL("filename",A149),FIND("]",CELL("filename",A149))+1,255),ROW(INDIRECT("$A$1:$A$"&amp;COUNTA(MID(Sheets,FIND("]",Sheets)+1,255))))),ROW(149:149)),1),"")</f>
        <v/>
      </c>
    </row>
    <row r="156" spans="4:4" x14ac:dyDescent="0.2">
      <c r="D156" s="17" t="str">
        <f t="array" aca="1" ref="D156" ca="1">IFERROR(INDEX(MID(Sheets,FIND("]",Sheets)+1,255),SMALL(IF(MID(Sheets,FIND("]",Sheets)+1,255)&lt;&gt;MID(CELL("filename",A150),FIND("]",CELL("filename",A150))+1,255),ROW(INDIRECT("$A$1:$A$"&amp;COUNTA(MID(Sheets,FIND("]",Sheets)+1,255))))),ROW(150:150)),1),"")</f>
        <v/>
      </c>
    </row>
    <row r="157" spans="4:4" x14ac:dyDescent="0.2">
      <c r="D157" s="17" t="str">
        <f t="array" aca="1" ref="D157" ca="1">IFERROR(INDEX(MID(Sheets,FIND("]",Sheets)+1,255),SMALL(IF(MID(Sheets,FIND("]",Sheets)+1,255)&lt;&gt;MID(CELL("filename",A151),FIND("]",CELL("filename",A151))+1,255),ROW(INDIRECT("$A$1:$A$"&amp;COUNTA(MID(Sheets,FIND("]",Sheets)+1,255))))),ROW(151:151)),1),"")</f>
        <v/>
      </c>
    </row>
    <row r="158" spans="4:4" x14ac:dyDescent="0.2">
      <c r="D158" s="17" t="str">
        <f t="array" aca="1" ref="D158" ca="1">IFERROR(INDEX(MID(Sheets,FIND("]",Sheets)+1,255),SMALL(IF(MID(Sheets,FIND("]",Sheets)+1,255)&lt;&gt;MID(CELL("filename",A152),FIND("]",CELL("filename",A152))+1,255),ROW(INDIRECT("$A$1:$A$"&amp;COUNTA(MID(Sheets,FIND("]",Sheets)+1,255))))),ROW(152:152)),1),"")</f>
        <v/>
      </c>
    </row>
    <row r="159" spans="4:4" x14ac:dyDescent="0.2">
      <c r="D159" s="17" t="str">
        <f t="array" aca="1" ref="D159" ca="1">IFERROR(INDEX(MID(Sheets,FIND("]",Sheets)+1,255),SMALL(IF(MID(Sheets,FIND("]",Sheets)+1,255)&lt;&gt;MID(CELL("filename",A153),FIND("]",CELL("filename",A153))+1,255),ROW(INDIRECT("$A$1:$A$"&amp;COUNTA(MID(Sheets,FIND("]",Sheets)+1,255))))),ROW(153:153)),1),"")</f>
        <v/>
      </c>
    </row>
    <row r="160" spans="4:4" x14ac:dyDescent="0.2">
      <c r="D160" s="17" t="str">
        <f t="array" aca="1" ref="D160" ca="1">IFERROR(INDEX(MID(Sheets,FIND("]",Sheets)+1,255),SMALL(IF(MID(Sheets,FIND("]",Sheets)+1,255)&lt;&gt;MID(CELL("filename",A154),FIND("]",CELL("filename",A154))+1,255),ROW(INDIRECT("$A$1:$A$"&amp;COUNTA(MID(Sheets,FIND("]",Sheets)+1,255))))),ROW(154:154)),1),"")</f>
        <v/>
      </c>
    </row>
    <row r="161" spans="4:4" x14ac:dyDescent="0.2">
      <c r="D161" s="17" t="str">
        <f t="array" aca="1" ref="D161" ca="1">IFERROR(INDEX(MID(Sheets,FIND("]",Sheets)+1,255),SMALL(IF(MID(Sheets,FIND("]",Sheets)+1,255)&lt;&gt;MID(CELL("filename",A155),FIND("]",CELL("filename",A155))+1,255),ROW(INDIRECT("$A$1:$A$"&amp;COUNTA(MID(Sheets,FIND("]",Sheets)+1,255))))),ROW(155:155)),1),"")</f>
        <v/>
      </c>
    </row>
    <row r="162" spans="4:4" x14ac:dyDescent="0.2">
      <c r="D162" s="17" t="str">
        <f t="array" aca="1" ref="D162" ca="1">IFERROR(INDEX(MID(Sheets,FIND("]",Sheets)+1,255),SMALL(IF(MID(Sheets,FIND("]",Sheets)+1,255)&lt;&gt;MID(CELL("filename",A156),FIND("]",CELL("filename",A156))+1,255),ROW(INDIRECT("$A$1:$A$"&amp;COUNTA(MID(Sheets,FIND("]",Sheets)+1,255))))),ROW(156:156)),1),"")</f>
        <v/>
      </c>
    </row>
    <row r="163" spans="4:4" x14ac:dyDescent="0.2">
      <c r="D163" s="17" t="str">
        <f t="array" aca="1" ref="D163" ca="1">IFERROR(INDEX(MID(Sheets,FIND("]",Sheets)+1,255),SMALL(IF(MID(Sheets,FIND("]",Sheets)+1,255)&lt;&gt;MID(CELL("filename",A157),FIND("]",CELL("filename",A157))+1,255),ROW(INDIRECT("$A$1:$A$"&amp;COUNTA(MID(Sheets,FIND("]",Sheets)+1,255))))),ROW(157:157)),1),"")</f>
        <v/>
      </c>
    </row>
    <row r="164" spans="4:4" x14ac:dyDescent="0.2">
      <c r="D164" s="17" t="str">
        <f t="array" aca="1" ref="D164" ca="1">IFERROR(INDEX(MID(Sheets,FIND("]",Sheets)+1,255),SMALL(IF(MID(Sheets,FIND("]",Sheets)+1,255)&lt;&gt;MID(CELL("filename",A158),FIND("]",CELL("filename",A158))+1,255),ROW(INDIRECT("$A$1:$A$"&amp;COUNTA(MID(Sheets,FIND("]",Sheets)+1,255))))),ROW(158:158)),1),"")</f>
        <v/>
      </c>
    </row>
    <row r="165" spans="4:4" x14ac:dyDescent="0.2">
      <c r="D165" s="17" t="str">
        <f t="array" aca="1" ref="D165" ca="1">IFERROR(INDEX(MID(Sheets,FIND("]",Sheets)+1,255),SMALL(IF(MID(Sheets,FIND("]",Sheets)+1,255)&lt;&gt;MID(CELL("filename",A159),FIND("]",CELL("filename",A159))+1,255),ROW(INDIRECT("$A$1:$A$"&amp;COUNTA(MID(Sheets,FIND("]",Sheets)+1,255))))),ROW(159:159)),1),"")</f>
        <v/>
      </c>
    </row>
    <row r="166" spans="4:4" x14ac:dyDescent="0.2">
      <c r="D166" s="17" t="str">
        <f t="array" aca="1" ref="D166" ca="1">IFERROR(INDEX(MID(Sheets,FIND("]",Sheets)+1,255),SMALL(IF(MID(Sheets,FIND("]",Sheets)+1,255)&lt;&gt;MID(CELL("filename",A160),FIND("]",CELL("filename",A160))+1,255),ROW(INDIRECT("$A$1:$A$"&amp;COUNTA(MID(Sheets,FIND("]",Sheets)+1,255))))),ROW(160:160)),1),"")</f>
        <v/>
      </c>
    </row>
    <row r="167" spans="4:4" x14ac:dyDescent="0.2">
      <c r="D167" s="17" t="str">
        <f t="array" aca="1" ref="D167" ca="1">IFERROR(INDEX(MID(Sheets,FIND("]",Sheets)+1,255),SMALL(IF(MID(Sheets,FIND("]",Sheets)+1,255)&lt;&gt;MID(CELL("filename",A161),FIND("]",CELL("filename",A161))+1,255),ROW(INDIRECT("$A$1:$A$"&amp;COUNTA(MID(Sheets,FIND("]",Sheets)+1,255))))),ROW(161:161)),1),"")</f>
        <v/>
      </c>
    </row>
    <row r="168" spans="4:4" x14ac:dyDescent="0.2">
      <c r="D168" s="17" t="str">
        <f t="array" aca="1" ref="D168" ca="1">IFERROR(INDEX(MID(Sheets,FIND("]",Sheets)+1,255),SMALL(IF(MID(Sheets,FIND("]",Sheets)+1,255)&lt;&gt;MID(CELL("filename",A162),FIND("]",CELL("filename",A162))+1,255),ROW(INDIRECT("$A$1:$A$"&amp;COUNTA(MID(Sheets,FIND("]",Sheets)+1,255))))),ROW(162:162)),1),"")</f>
        <v/>
      </c>
    </row>
    <row r="169" spans="4:4" x14ac:dyDescent="0.2">
      <c r="D169" s="17" t="str">
        <f t="array" aca="1" ref="D169" ca="1">IFERROR(INDEX(MID(Sheets,FIND("]",Sheets)+1,255),SMALL(IF(MID(Sheets,FIND("]",Sheets)+1,255)&lt;&gt;MID(CELL("filename",A163),FIND("]",CELL("filename",A163))+1,255),ROW(INDIRECT("$A$1:$A$"&amp;COUNTA(MID(Sheets,FIND("]",Sheets)+1,255))))),ROW(163:163)),1),"")</f>
        <v/>
      </c>
    </row>
    <row r="170" spans="4:4" x14ac:dyDescent="0.2">
      <c r="D170" s="17" t="str">
        <f t="array" aca="1" ref="D170" ca="1">IFERROR(INDEX(MID(Sheets,FIND("]",Sheets)+1,255),SMALL(IF(MID(Sheets,FIND("]",Sheets)+1,255)&lt;&gt;MID(CELL("filename",A164),FIND("]",CELL("filename",A164))+1,255),ROW(INDIRECT("$A$1:$A$"&amp;COUNTA(MID(Sheets,FIND("]",Sheets)+1,255))))),ROW(164:164)),1),"")</f>
        <v/>
      </c>
    </row>
    <row r="171" spans="4:4" x14ac:dyDescent="0.2">
      <c r="D171" s="17" t="str">
        <f t="array" aca="1" ref="D171" ca="1">IFERROR(INDEX(MID(Sheets,FIND("]",Sheets)+1,255),SMALL(IF(MID(Sheets,FIND("]",Sheets)+1,255)&lt;&gt;MID(CELL("filename",A165),FIND("]",CELL("filename",A165))+1,255),ROW(INDIRECT("$A$1:$A$"&amp;COUNTA(MID(Sheets,FIND("]",Sheets)+1,255))))),ROW(165:165)),1),"")</f>
        <v/>
      </c>
    </row>
    <row r="172" spans="4:4" x14ac:dyDescent="0.2">
      <c r="D172" s="17" t="str">
        <f t="array" aca="1" ref="D172" ca="1">IFERROR(INDEX(MID(Sheets,FIND("]",Sheets)+1,255),SMALL(IF(MID(Sheets,FIND("]",Sheets)+1,255)&lt;&gt;MID(CELL("filename",A166),FIND("]",CELL("filename",A166))+1,255),ROW(INDIRECT("$A$1:$A$"&amp;COUNTA(MID(Sheets,FIND("]",Sheets)+1,255))))),ROW(166:166)),1),"")</f>
        <v/>
      </c>
    </row>
    <row r="173" spans="4:4" x14ac:dyDescent="0.2">
      <c r="D173" s="17" t="str">
        <f t="array" aca="1" ref="D173" ca="1">IFERROR(INDEX(MID(Sheets,FIND("]",Sheets)+1,255),SMALL(IF(MID(Sheets,FIND("]",Sheets)+1,255)&lt;&gt;MID(CELL("filename",A167),FIND("]",CELL("filename",A167))+1,255),ROW(INDIRECT("$A$1:$A$"&amp;COUNTA(MID(Sheets,FIND("]",Sheets)+1,255))))),ROW(167:167)),1),"")</f>
        <v/>
      </c>
    </row>
    <row r="174" spans="4:4" x14ac:dyDescent="0.2">
      <c r="D174" s="17" t="str">
        <f t="array" aca="1" ref="D174" ca="1">IFERROR(INDEX(MID(Sheets,FIND("]",Sheets)+1,255),SMALL(IF(MID(Sheets,FIND("]",Sheets)+1,255)&lt;&gt;MID(CELL("filename",A168),FIND("]",CELL("filename",A168))+1,255),ROW(INDIRECT("$A$1:$A$"&amp;COUNTA(MID(Sheets,FIND("]",Sheets)+1,255))))),ROW(168:168)),1),"")</f>
        <v/>
      </c>
    </row>
    <row r="175" spans="4:4" x14ac:dyDescent="0.2">
      <c r="D175" s="17" t="str">
        <f t="array" aca="1" ref="D175" ca="1">IFERROR(INDEX(MID(Sheets,FIND("]",Sheets)+1,255),SMALL(IF(MID(Sheets,FIND("]",Sheets)+1,255)&lt;&gt;MID(CELL("filename",A169),FIND("]",CELL("filename",A169))+1,255),ROW(INDIRECT("$A$1:$A$"&amp;COUNTA(MID(Sheets,FIND("]",Sheets)+1,255))))),ROW(169:169)),1),"")</f>
        <v/>
      </c>
    </row>
    <row r="176" spans="4:4" x14ac:dyDescent="0.2">
      <c r="D176" s="17" t="str">
        <f t="array" aca="1" ref="D176" ca="1">IFERROR(INDEX(MID(Sheets,FIND("]",Sheets)+1,255),SMALL(IF(MID(Sheets,FIND("]",Sheets)+1,255)&lt;&gt;MID(CELL("filename",A170),FIND("]",CELL("filename",A170))+1,255),ROW(INDIRECT("$A$1:$A$"&amp;COUNTA(MID(Sheets,FIND("]",Sheets)+1,255))))),ROW(170:170)),1),"")</f>
        <v/>
      </c>
    </row>
    <row r="177" spans="4:4" x14ac:dyDescent="0.2">
      <c r="D177" s="17" t="str">
        <f t="array" aca="1" ref="D177" ca="1">IFERROR(INDEX(MID(Sheets,FIND("]",Sheets)+1,255),SMALL(IF(MID(Sheets,FIND("]",Sheets)+1,255)&lt;&gt;MID(CELL("filename",A171),FIND("]",CELL("filename",A171))+1,255),ROW(INDIRECT("$A$1:$A$"&amp;COUNTA(MID(Sheets,FIND("]",Sheets)+1,255))))),ROW(171:171)),1),"")</f>
        <v/>
      </c>
    </row>
    <row r="178" spans="4:4" x14ac:dyDescent="0.2">
      <c r="D178" s="17" t="str">
        <f t="array" aca="1" ref="D178" ca="1">IFERROR(INDEX(MID(Sheets,FIND("]",Sheets)+1,255),SMALL(IF(MID(Sheets,FIND("]",Sheets)+1,255)&lt;&gt;MID(CELL("filename",A172),FIND("]",CELL("filename",A172))+1,255),ROW(INDIRECT("$A$1:$A$"&amp;COUNTA(MID(Sheets,FIND("]",Sheets)+1,255))))),ROW(172:172)),1),"")</f>
        <v/>
      </c>
    </row>
    <row r="179" spans="4:4" x14ac:dyDescent="0.2">
      <c r="D179" s="17" t="str">
        <f t="array" aca="1" ref="D179" ca="1">IFERROR(INDEX(MID(Sheets,FIND("]",Sheets)+1,255),SMALL(IF(MID(Sheets,FIND("]",Sheets)+1,255)&lt;&gt;MID(CELL("filename",A173),FIND("]",CELL("filename",A173))+1,255),ROW(INDIRECT("$A$1:$A$"&amp;COUNTA(MID(Sheets,FIND("]",Sheets)+1,255))))),ROW(173:173)),1),"")</f>
        <v/>
      </c>
    </row>
    <row r="180" spans="4:4" x14ac:dyDescent="0.2">
      <c r="D180" s="17" t="str">
        <f t="array" aca="1" ref="D180" ca="1">IFERROR(INDEX(MID(Sheets,FIND("]",Sheets)+1,255),SMALL(IF(MID(Sheets,FIND("]",Sheets)+1,255)&lt;&gt;MID(CELL("filename",A174),FIND("]",CELL("filename",A174))+1,255),ROW(INDIRECT("$A$1:$A$"&amp;COUNTA(MID(Sheets,FIND("]",Sheets)+1,255))))),ROW(174:174)),1),"")</f>
        <v/>
      </c>
    </row>
    <row r="181" spans="4:4" x14ac:dyDescent="0.2">
      <c r="D181" s="17" t="str">
        <f t="array" aca="1" ref="D181" ca="1">IFERROR(INDEX(MID(Sheets,FIND("]",Sheets)+1,255),SMALL(IF(MID(Sheets,FIND("]",Sheets)+1,255)&lt;&gt;MID(CELL("filename",A175),FIND("]",CELL("filename",A175))+1,255),ROW(INDIRECT("$A$1:$A$"&amp;COUNTA(MID(Sheets,FIND("]",Sheets)+1,255))))),ROW(175:175)),1),"")</f>
        <v/>
      </c>
    </row>
    <row r="182" spans="4:4" x14ac:dyDescent="0.2">
      <c r="D182" s="17" t="str">
        <f t="array" aca="1" ref="D182" ca="1">IFERROR(INDEX(MID(Sheets,FIND("]",Sheets)+1,255),SMALL(IF(MID(Sheets,FIND("]",Sheets)+1,255)&lt;&gt;MID(CELL("filename",A176),FIND("]",CELL("filename",A176))+1,255),ROW(INDIRECT("$A$1:$A$"&amp;COUNTA(MID(Sheets,FIND("]",Sheets)+1,255))))),ROW(176:176)),1),"")</f>
        <v/>
      </c>
    </row>
    <row r="183" spans="4:4" x14ac:dyDescent="0.2">
      <c r="D183" s="17" t="str">
        <f t="array" aca="1" ref="D183" ca="1">IFERROR(INDEX(MID(Sheets,FIND("]",Sheets)+1,255),SMALL(IF(MID(Sheets,FIND("]",Sheets)+1,255)&lt;&gt;MID(CELL("filename",A177),FIND("]",CELL("filename",A177))+1,255),ROW(INDIRECT("$A$1:$A$"&amp;COUNTA(MID(Sheets,FIND("]",Sheets)+1,255))))),ROW(177:177)),1),"")</f>
        <v/>
      </c>
    </row>
    <row r="184" spans="4:4" x14ac:dyDescent="0.2">
      <c r="D184" s="17" t="str">
        <f t="array" aca="1" ref="D184" ca="1">IFERROR(INDEX(MID(Sheets,FIND("]",Sheets)+1,255),SMALL(IF(MID(Sheets,FIND("]",Sheets)+1,255)&lt;&gt;MID(CELL("filename",A178),FIND("]",CELL("filename",A178))+1,255),ROW(INDIRECT("$A$1:$A$"&amp;COUNTA(MID(Sheets,FIND("]",Sheets)+1,255))))),ROW(178:178)),1),"")</f>
        <v/>
      </c>
    </row>
    <row r="185" spans="4:4" x14ac:dyDescent="0.2">
      <c r="D185" s="17" t="str">
        <f t="array" aca="1" ref="D185" ca="1">IFERROR(INDEX(MID(Sheets,FIND("]",Sheets)+1,255),SMALL(IF(MID(Sheets,FIND("]",Sheets)+1,255)&lt;&gt;MID(CELL("filename",A179),FIND("]",CELL("filename",A179))+1,255),ROW(INDIRECT("$A$1:$A$"&amp;COUNTA(MID(Sheets,FIND("]",Sheets)+1,255))))),ROW(179:179)),1),"")</f>
        <v/>
      </c>
    </row>
    <row r="186" spans="4:4" x14ac:dyDescent="0.2">
      <c r="D186" s="17" t="str">
        <f t="array" aca="1" ref="D186" ca="1">IFERROR(INDEX(MID(Sheets,FIND("]",Sheets)+1,255),SMALL(IF(MID(Sheets,FIND("]",Sheets)+1,255)&lt;&gt;MID(CELL("filename",A180),FIND("]",CELL("filename",A180))+1,255),ROW(INDIRECT("$A$1:$A$"&amp;COUNTA(MID(Sheets,FIND("]",Sheets)+1,255))))),ROW(180:180)),1),"")</f>
        <v/>
      </c>
    </row>
    <row r="187" spans="4:4" x14ac:dyDescent="0.2">
      <c r="D187" s="17" t="str">
        <f t="array" aca="1" ref="D187" ca="1">IFERROR(INDEX(MID(Sheets,FIND("]",Sheets)+1,255),SMALL(IF(MID(Sheets,FIND("]",Sheets)+1,255)&lt;&gt;MID(CELL("filename",A181),FIND("]",CELL("filename",A181))+1,255),ROW(INDIRECT("$A$1:$A$"&amp;COUNTA(MID(Sheets,FIND("]",Sheets)+1,255))))),ROW(181:181)),1),"")</f>
        <v/>
      </c>
    </row>
    <row r="188" spans="4:4" x14ac:dyDescent="0.2">
      <c r="D188" s="17" t="str">
        <f t="array" aca="1" ref="D188" ca="1">IFERROR(INDEX(MID(Sheets,FIND("]",Sheets)+1,255),SMALL(IF(MID(Sheets,FIND("]",Sheets)+1,255)&lt;&gt;MID(CELL("filename",A182),FIND("]",CELL("filename",A182))+1,255),ROW(INDIRECT("$A$1:$A$"&amp;COUNTA(MID(Sheets,FIND("]",Sheets)+1,255))))),ROW(182:182)),1),"")</f>
        <v/>
      </c>
    </row>
    <row r="189" spans="4:4" x14ac:dyDescent="0.2">
      <c r="D189" s="17" t="str">
        <f t="array" aca="1" ref="D189" ca="1">IFERROR(INDEX(MID(Sheets,FIND("]",Sheets)+1,255),SMALL(IF(MID(Sheets,FIND("]",Sheets)+1,255)&lt;&gt;MID(CELL("filename",A183),FIND("]",CELL("filename",A183))+1,255),ROW(INDIRECT("$A$1:$A$"&amp;COUNTA(MID(Sheets,FIND("]",Sheets)+1,255))))),ROW(183:183)),1),"")</f>
        <v/>
      </c>
    </row>
    <row r="190" spans="4:4" x14ac:dyDescent="0.2">
      <c r="D190" s="17" t="str">
        <f t="array" aca="1" ref="D190" ca="1">IFERROR(INDEX(MID(Sheets,FIND("]",Sheets)+1,255),SMALL(IF(MID(Sheets,FIND("]",Sheets)+1,255)&lt;&gt;MID(CELL("filename",A184),FIND("]",CELL("filename",A184))+1,255),ROW(INDIRECT("$A$1:$A$"&amp;COUNTA(MID(Sheets,FIND("]",Sheets)+1,255))))),ROW(184:184)),1),"")</f>
        <v/>
      </c>
    </row>
    <row r="191" spans="4:4" x14ac:dyDescent="0.2">
      <c r="D191" s="17" t="str">
        <f t="array" aca="1" ref="D191" ca="1">IFERROR(INDEX(MID(Sheets,FIND("]",Sheets)+1,255),SMALL(IF(MID(Sheets,FIND("]",Sheets)+1,255)&lt;&gt;MID(CELL("filename",A185),FIND("]",CELL("filename",A185))+1,255),ROW(INDIRECT("$A$1:$A$"&amp;COUNTA(MID(Sheets,FIND("]",Sheets)+1,255))))),ROW(185:185)),1),"")</f>
        <v/>
      </c>
    </row>
    <row r="192" spans="4:4" x14ac:dyDescent="0.2">
      <c r="D192" s="17" t="str">
        <f t="array" aca="1" ref="D192" ca="1">IFERROR(INDEX(MID(Sheets,FIND("]",Sheets)+1,255),SMALL(IF(MID(Sheets,FIND("]",Sheets)+1,255)&lt;&gt;MID(CELL("filename",A186),FIND("]",CELL("filename",A186))+1,255),ROW(INDIRECT("$A$1:$A$"&amp;COUNTA(MID(Sheets,FIND("]",Sheets)+1,255))))),ROW(186:186)),1),"")</f>
        <v/>
      </c>
    </row>
    <row r="193" spans="4:4" x14ac:dyDescent="0.2">
      <c r="D193" s="17" t="str">
        <f t="array" aca="1" ref="D193" ca="1">IFERROR(INDEX(MID(Sheets,FIND("]",Sheets)+1,255),SMALL(IF(MID(Sheets,FIND("]",Sheets)+1,255)&lt;&gt;MID(CELL("filename",A187),FIND("]",CELL("filename",A187))+1,255),ROW(INDIRECT("$A$1:$A$"&amp;COUNTA(MID(Sheets,FIND("]",Sheets)+1,255))))),ROW(187:187)),1),"")</f>
        <v/>
      </c>
    </row>
    <row r="194" spans="4:4" x14ac:dyDescent="0.2">
      <c r="D194" s="17" t="str">
        <f t="array" aca="1" ref="D194" ca="1">IFERROR(INDEX(MID(Sheets,FIND("]",Sheets)+1,255),SMALL(IF(MID(Sheets,FIND("]",Sheets)+1,255)&lt;&gt;MID(CELL("filename",A188),FIND("]",CELL("filename",A188))+1,255),ROW(INDIRECT("$A$1:$A$"&amp;COUNTA(MID(Sheets,FIND("]",Sheets)+1,255))))),ROW(188:188)),1),"")</f>
        <v/>
      </c>
    </row>
    <row r="195" spans="4:4" x14ac:dyDescent="0.2">
      <c r="D195" s="17" t="str">
        <f t="array" aca="1" ref="D195" ca="1">IFERROR(INDEX(MID(Sheets,FIND("]",Sheets)+1,255),SMALL(IF(MID(Sheets,FIND("]",Sheets)+1,255)&lt;&gt;MID(CELL("filename",A189),FIND("]",CELL("filename",A189))+1,255),ROW(INDIRECT("$A$1:$A$"&amp;COUNTA(MID(Sheets,FIND("]",Sheets)+1,255))))),ROW(189:189)),1),"")</f>
        <v/>
      </c>
    </row>
    <row r="196" spans="4:4" x14ac:dyDescent="0.2">
      <c r="D196" s="17" t="str">
        <f t="array" aca="1" ref="D196" ca="1">IFERROR(INDEX(MID(Sheets,FIND("]",Sheets)+1,255),SMALL(IF(MID(Sheets,FIND("]",Sheets)+1,255)&lt;&gt;MID(CELL("filename",A190),FIND("]",CELL("filename",A190))+1,255),ROW(INDIRECT("$A$1:$A$"&amp;COUNTA(MID(Sheets,FIND("]",Sheets)+1,255))))),ROW(190:190)),1),"")</f>
        <v/>
      </c>
    </row>
    <row r="197" spans="4:4" x14ac:dyDescent="0.2">
      <c r="D197" s="17" t="str">
        <f t="array" aca="1" ref="D197" ca="1">IFERROR(INDEX(MID(Sheets,FIND("]",Sheets)+1,255),SMALL(IF(MID(Sheets,FIND("]",Sheets)+1,255)&lt;&gt;MID(CELL("filename",A191),FIND("]",CELL("filename",A191))+1,255),ROW(INDIRECT("$A$1:$A$"&amp;COUNTA(MID(Sheets,FIND("]",Sheets)+1,255))))),ROW(191:191)),1),"")</f>
        <v/>
      </c>
    </row>
    <row r="198" spans="4:4" x14ac:dyDescent="0.2">
      <c r="D198" s="17" t="str">
        <f t="array" aca="1" ref="D198" ca="1">IFERROR(INDEX(MID(Sheets,FIND("]",Sheets)+1,255),SMALL(IF(MID(Sheets,FIND("]",Sheets)+1,255)&lt;&gt;MID(CELL("filename",A192),FIND("]",CELL("filename",A192))+1,255),ROW(INDIRECT("$A$1:$A$"&amp;COUNTA(MID(Sheets,FIND("]",Sheets)+1,255))))),ROW(192:192)),1),"")</f>
        <v/>
      </c>
    </row>
    <row r="199" spans="4:4" x14ac:dyDescent="0.2">
      <c r="D199" s="17" t="str">
        <f t="array" aca="1" ref="D199" ca="1">IFERROR(INDEX(MID(Sheets,FIND("]",Sheets)+1,255),SMALL(IF(MID(Sheets,FIND("]",Sheets)+1,255)&lt;&gt;MID(CELL("filename",A193),FIND("]",CELL("filename",A193))+1,255),ROW(INDIRECT("$A$1:$A$"&amp;COUNTA(MID(Sheets,FIND("]",Sheets)+1,255))))),ROW(193:193)),1),"")</f>
        <v/>
      </c>
    </row>
    <row r="200" spans="4:4" x14ac:dyDescent="0.2">
      <c r="D200" s="17" t="str">
        <f t="array" aca="1" ref="D200" ca="1">IFERROR(INDEX(MID(Sheets,FIND("]",Sheets)+1,255),SMALL(IF(MID(Sheets,FIND("]",Sheets)+1,255)&lt;&gt;MID(CELL("filename",A194),FIND("]",CELL("filename",A194))+1,255),ROW(INDIRECT("$A$1:$A$"&amp;COUNTA(MID(Sheets,FIND("]",Sheets)+1,255))))),ROW(194:194)),1),"")</f>
        <v/>
      </c>
    </row>
    <row r="201" spans="4:4" x14ac:dyDescent="0.2">
      <c r="D201" s="17" t="str">
        <f t="array" aca="1" ref="D201" ca="1">IFERROR(INDEX(MID(Sheets,FIND("]",Sheets)+1,255),SMALL(IF(MID(Sheets,FIND("]",Sheets)+1,255)&lt;&gt;MID(CELL("filename",A195),FIND("]",CELL("filename",A195))+1,255),ROW(INDIRECT("$A$1:$A$"&amp;COUNTA(MID(Sheets,FIND("]",Sheets)+1,255))))),ROW(195:195)),1),"")</f>
        <v/>
      </c>
    </row>
    <row r="202" spans="4:4" x14ac:dyDescent="0.2">
      <c r="D202" s="17" t="str">
        <f t="array" aca="1" ref="D202" ca="1">IFERROR(INDEX(MID(Sheets,FIND("]",Sheets)+1,255),SMALL(IF(MID(Sheets,FIND("]",Sheets)+1,255)&lt;&gt;MID(CELL("filename",A196),FIND("]",CELL("filename",A196))+1,255),ROW(INDIRECT("$A$1:$A$"&amp;COUNTA(MID(Sheets,FIND("]",Sheets)+1,255))))),ROW(196:196)),1),"")</f>
        <v/>
      </c>
    </row>
    <row r="203" spans="4:4" x14ac:dyDescent="0.2">
      <c r="D203" s="17" t="str">
        <f t="array" aca="1" ref="D203" ca="1">IFERROR(INDEX(MID(Sheets,FIND("]",Sheets)+1,255),SMALL(IF(MID(Sheets,FIND("]",Sheets)+1,255)&lt;&gt;MID(CELL("filename",A197),FIND("]",CELL("filename",A197))+1,255),ROW(INDIRECT("$A$1:$A$"&amp;COUNTA(MID(Sheets,FIND("]",Sheets)+1,255))))),ROW(197:197)),1),"")</f>
        <v/>
      </c>
    </row>
    <row r="204" spans="4:4" x14ac:dyDescent="0.2">
      <c r="D204" s="17" t="str">
        <f t="array" aca="1" ref="D204" ca="1">IFERROR(INDEX(MID(Sheets,FIND("]",Sheets)+1,255),SMALL(IF(MID(Sheets,FIND("]",Sheets)+1,255)&lt;&gt;MID(CELL("filename",A198),FIND("]",CELL("filename",A198))+1,255),ROW(INDIRECT("$A$1:$A$"&amp;COUNTA(MID(Sheets,FIND("]",Sheets)+1,255))))),ROW(198:198)),1),"")</f>
        <v/>
      </c>
    </row>
    <row r="205" spans="4:4" x14ac:dyDescent="0.2">
      <c r="D205" s="17" t="str">
        <f t="array" aca="1" ref="D205" ca="1">IFERROR(INDEX(MID(Sheets,FIND("]",Sheets)+1,255),SMALL(IF(MID(Sheets,FIND("]",Sheets)+1,255)&lt;&gt;MID(CELL("filename",A199),FIND("]",CELL("filename",A199))+1,255),ROW(INDIRECT("$A$1:$A$"&amp;COUNTA(MID(Sheets,FIND("]",Sheets)+1,255))))),ROW(199:199)),1),"")</f>
        <v/>
      </c>
    </row>
    <row r="206" spans="4:4" x14ac:dyDescent="0.2">
      <c r="D206" s="17" t="str">
        <f t="array" aca="1" ref="D206" ca="1">IFERROR(INDEX(MID(Sheets,FIND("]",Sheets)+1,255),SMALL(IF(MID(Sheets,FIND("]",Sheets)+1,255)&lt;&gt;MID(CELL("filename",A200),FIND("]",CELL("filename",A200))+1,255),ROW(INDIRECT("$A$1:$A$"&amp;COUNTA(MID(Sheets,FIND("]",Sheets)+1,255))))),ROW(200:200)),1),"")</f>
        <v/>
      </c>
    </row>
    <row r="207" spans="4:4" x14ac:dyDescent="0.2">
      <c r="D207" s="17" t="str">
        <f t="array" aca="1" ref="D207" ca="1">IFERROR(INDEX(MID(Sheets,FIND("]",Sheets)+1,255),SMALL(IF(MID(Sheets,FIND("]",Sheets)+1,255)&lt;&gt;MID(CELL("filename",A201),FIND("]",CELL("filename",A201))+1,255),ROW(INDIRECT("$A$1:$A$"&amp;COUNTA(MID(Sheets,FIND("]",Sheets)+1,255))))),ROW(201:201)),1),"")</f>
        <v/>
      </c>
    </row>
    <row r="208" spans="4:4" x14ac:dyDescent="0.2">
      <c r="D208" s="17" t="str">
        <f t="array" aca="1" ref="D208" ca="1">IFERROR(INDEX(MID(Sheets,FIND("]",Sheets)+1,255),SMALL(IF(MID(Sheets,FIND("]",Sheets)+1,255)&lt;&gt;MID(CELL("filename",A202),FIND("]",CELL("filename",A202))+1,255),ROW(INDIRECT("$A$1:$A$"&amp;COUNTA(MID(Sheets,FIND("]",Sheets)+1,255))))),ROW(202:202)),1),"")</f>
        <v/>
      </c>
    </row>
    <row r="209" spans="4:4" x14ac:dyDescent="0.2">
      <c r="D209" s="17" t="str">
        <f t="array" aca="1" ref="D209" ca="1">IFERROR(INDEX(MID(Sheets,FIND("]",Sheets)+1,255),SMALL(IF(MID(Sheets,FIND("]",Sheets)+1,255)&lt;&gt;MID(CELL("filename",A203),FIND("]",CELL("filename",A203))+1,255),ROW(INDIRECT("$A$1:$A$"&amp;COUNTA(MID(Sheets,FIND("]",Sheets)+1,255))))),ROW(203:203)),1),"")</f>
        <v/>
      </c>
    </row>
    <row r="210" spans="4:4" x14ac:dyDescent="0.2">
      <c r="D210" s="17" t="str">
        <f t="array" aca="1" ref="D210" ca="1">IFERROR(INDEX(MID(Sheets,FIND("]",Sheets)+1,255),SMALL(IF(MID(Sheets,FIND("]",Sheets)+1,255)&lt;&gt;MID(CELL("filename",A204),FIND("]",CELL("filename",A204))+1,255),ROW(INDIRECT("$A$1:$A$"&amp;COUNTA(MID(Sheets,FIND("]",Sheets)+1,255))))),ROW(204:204)),1),"")</f>
        <v/>
      </c>
    </row>
    <row r="211" spans="4:4" x14ac:dyDescent="0.2">
      <c r="D211" s="17" t="str">
        <f t="array" aca="1" ref="D211" ca="1">IFERROR(INDEX(MID(Sheets,FIND("]",Sheets)+1,255),SMALL(IF(MID(Sheets,FIND("]",Sheets)+1,255)&lt;&gt;MID(CELL("filename",A205),FIND("]",CELL("filename",A205))+1,255),ROW(INDIRECT("$A$1:$A$"&amp;COUNTA(MID(Sheets,FIND("]",Sheets)+1,255))))),ROW(205:205)),1),"")</f>
        <v/>
      </c>
    </row>
    <row r="212" spans="4:4" x14ac:dyDescent="0.2">
      <c r="D212" s="17" t="str">
        <f t="array" aca="1" ref="D212" ca="1">IFERROR(INDEX(MID(Sheets,FIND("]",Sheets)+1,255),SMALL(IF(MID(Sheets,FIND("]",Sheets)+1,255)&lt;&gt;MID(CELL("filename",A206),FIND("]",CELL("filename",A206))+1,255),ROW(INDIRECT("$A$1:$A$"&amp;COUNTA(MID(Sheets,FIND("]",Sheets)+1,255))))),ROW(206:206)),1),"")</f>
        <v/>
      </c>
    </row>
    <row r="213" spans="4:4" x14ac:dyDescent="0.2">
      <c r="D213" s="17" t="str">
        <f t="array" aca="1" ref="D213" ca="1">IFERROR(INDEX(MID(Sheets,FIND("]",Sheets)+1,255),SMALL(IF(MID(Sheets,FIND("]",Sheets)+1,255)&lt;&gt;MID(CELL("filename",A207),FIND("]",CELL("filename",A207))+1,255),ROW(INDIRECT("$A$1:$A$"&amp;COUNTA(MID(Sheets,FIND("]",Sheets)+1,255))))),ROW(207:207)),1),"")</f>
        <v/>
      </c>
    </row>
    <row r="214" spans="4:4" x14ac:dyDescent="0.2">
      <c r="D214" s="17" t="str">
        <f t="array" aca="1" ref="D214" ca="1">IFERROR(INDEX(MID(Sheets,FIND("]",Sheets)+1,255),SMALL(IF(MID(Sheets,FIND("]",Sheets)+1,255)&lt;&gt;MID(CELL("filename",A208),FIND("]",CELL("filename",A208))+1,255),ROW(INDIRECT("$A$1:$A$"&amp;COUNTA(MID(Sheets,FIND("]",Sheets)+1,255))))),ROW(208:208)),1),"")</f>
        <v/>
      </c>
    </row>
    <row r="215" spans="4:4" x14ac:dyDescent="0.2">
      <c r="D215" s="17" t="str">
        <f t="array" aca="1" ref="D215" ca="1">IFERROR(INDEX(MID(Sheets,FIND("]",Sheets)+1,255),SMALL(IF(MID(Sheets,FIND("]",Sheets)+1,255)&lt;&gt;MID(CELL("filename",A209),FIND("]",CELL("filename",A209))+1,255),ROW(INDIRECT("$A$1:$A$"&amp;COUNTA(MID(Sheets,FIND("]",Sheets)+1,255))))),ROW(209:209)),1),"")</f>
        <v/>
      </c>
    </row>
    <row r="216" spans="4:4" x14ac:dyDescent="0.2">
      <c r="D216" s="17" t="str">
        <f t="array" aca="1" ref="D216" ca="1">IFERROR(INDEX(MID(Sheets,FIND("]",Sheets)+1,255),SMALL(IF(MID(Sheets,FIND("]",Sheets)+1,255)&lt;&gt;MID(CELL("filename",A210),FIND("]",CELL("filename",A210))+1,255),ROW(INDIRECT("$A$1:$A$"&amp;COUNTA(MID(Sheets,FIND("]",Sheets)+1,255))))),ROW(210:210)),1),"")</f>
        <v/>
      </c>
    </row>
    <row r="217" spans="4:4" x14ac:dyDescent="0.2">
      <c r="D217" s="17" t="str">
        <f t="array" aca="1" ref="D217" ca="1">IFERROR(INDEX(MID(Sheets,FIND("]",Sheets)+1,255),SMALL(IF(MID(Sheets,FIND("]",Sheets)+1,255)&lt;&gt;MID(CELL("filename",A211),FIND("]",CELL("filename",A211))+1,255),ROW(INDIRECT("$A$1:$A$"&amp;COUNTA(MID(Sheets,FIND("]",Sheets)+1,255))))),ROW(211:211)),1),"")</f>
        <v/>
      </c>
    </row>
    <row r="218" spans="4:4" x14ac:dyDescent="0.2">
      <c r="D218" s="17" t="str">
        <f t="array" aca="1" ref="D218" ca="1">IFERROR(INDEX(MID(Sheets,FIND("]",Sheets)+1,255),SMALL(IF(MID(Sheets,FIND("]",Sheets)+1,255)&lt;&gt;MID(CELL("filename",A212),FIND("]",CELL("filename",A212))+1,255),ROW(INDIRECT("$A$1:$A$"&amp;COUNTA(MID(Sheets,FIND("]",Sheets)+1,255))))),ROW(212:212)),1),"")</f>
        <v/>
      </c>
    </row>
    <row r="219" spans="4:4" x14ac:dyDescent="0.2">
      <c r="D219" s="17" t="str">
        <f t="array" aca="1" ref="D219" ca="1">IFERROR(INDEX(MID(Sheets,FIND("]",Sheets)+1,255),SMALL(IF(MID(Sheets,FIND("]",Sheets)+1,255)&lt;&gt;MID(CELL("filename",A213),FIND("]",CELL("filename",A213))+1,255),ROW(INDIRECT("$A$1:$A$"&amp;COUNTA(MID(Sheets,FIND("]",Sheets)+1,255))))),ROW(213:213)),1),"")</f>
        <v/>
      </c>
    </row>
    <row r="220" spans="4:4" x14ac:dyDescent="0.2">
      <c r="D220" s="17" t="str">
        <f t="array" aca="1" ref="D220" ca="1">IFERROR(INDEX(MID(Sheets,FIND("]",Sheets)+1,255),SMALL(IF(MID(Sheets,FIND("]",Sheets)+1,255)&lt;&gt;MID(CELL("filename",A214),FIND("]",CELL("filename",A214))+1,255),ROW(INDIRECT("$A$1:$A$"&amp;COUNTA(MID(Sheets,FIND("]",Sheets)+1,255))))),ROW(214:214)),1),"")</f>
        <v/>
      </c>
    </row>
    <row r="221" spans="4:4" x14ac:dyDescent="0.2">
      <c r="D221" s="17" t="str">
        <f t="array" aca="1" ref="D221" ca="1">IFERROR(INDEX(MID(Sheets,FIND("]",Sheets)+1,255),SMALL(IF(MID(Sheets,FIND("]",Sheets)+1,255)&lt;&gt;MID(CELL("filename",A215),FIND("]",CELL("filename",A215))+1,255),ROW(INDIRECT("$A$1:$A$"&amp;COUNTA(MID(Sheets,FIND("]",Sheets)+1,255))))),ROW(215:215)),1),"")</f>
        <v/>
      </c>
    </row>
    <row r="222" spans="4:4" x14ac:dyDescent="0.2">
      <c r="D222" s="17" t="str">
        <f t="array" aca="1" ref="D222" ca="1">IFERROR(INDEX(MID(Sheets,FIND("]",Sheets)+1,255),SMALL(IF(MID(Sheets,FIND("]",Sheets)+1,255)&lt;&gt;MID(CELL("filename",A216),FIND("]",CELL("filename",A216))+1,255),ROW(INDIRECT("$A$1:$A$"&amp;COUNTA(MID(Sheets,FIND("]",Sheets)+1,255))))),ROW(216:216)),1),"")</f>
        <v/>
      </c>
    </row>
    <row r="223" spans="4:4" x14ac:dyDescent="0.2">
      <c r="D223" s="17" t="str">
        <f t="array" aca="1" ref="D223" ca="1">IFERROR(INDEX(MID(Sheets,FIND("]",Sheets)+1,255),SMALL(IF(MID(Sheets,FIND("]",Sheets)+1,255)&lt;&gt;MID(CELL("filename",A217),FIND("]",CELL("filename",A217))+1,255),ROW(INDIRECT("$A$1:$A$"&amp;COUNTA(MID(Sheets,FIND("]",Sheets)+1,255))))),ROW(217:217)),1),"")</f>
        <v/>
      </c>
    </row>
    <row r="224" spans="4:4" x14ac:dyDescent="0.2">
      <c r="D224" s="17" t="str">
        <f t="array" aca="1" ref="D224" ca="1">IFERROR(INDEX(MID(Sheets,FIND("]",Sheets)+1,255),SMALL(IF(MID(Sheets,FIND("]",Sheets)+1,255)&lt;&gt;MID(CELL("filename",A218),FIND("]",CELL("filename",A218))+1,255),ROW(INDIRECT("$A$1:$A$"&amp;COUNTA(MID(Sheets,FIND("]",Sheets)+1,255))))),ROW(218:218)),1),"")</f>
        <v/>
      </c>
    </row>
    <row r="225" spans="4:4" x14ac:dyDescent="0.2">
      <c r="D225" s="17" t="str">
        <f t="array" aca="1" ref="D225" ca="1">IFERROR(INDEX(MID(Sheets,FIND("]",Sheets)+1,255),SMALL(IF(MID(Sheets,FIND("]",Sheets)+1,255)&lt;&gt;MID(CELL("filename",A219),FIND("]",CELL("filename",A219))+1,255),ROW(INDIRECT("$A$1:$A$"&amp;COUNTA(MID(Sheets,FIND("]",Sheets)+1,255))))),ROW(219:219)),1),"")</f>
        <v/>
      </c>
    </row>
    <row r="226" spans="4:4" x14ac:dyDescent="0.2">
      <c r="D226" s="17" t="str">
        <f t="array" aca="1" ref="D226" ca="1">IFERROR(INDEX(MID(Sheets,FIND("]",Sheets)+1,255),SMALL(IF(MID(Sheets,FIND("]",Sheets)+1,255)&lt;&gt;MID(CELL("filename",A220),FIND("]",CELL("filename",A220))+1,255),ROW(INDIRECT("$A$1:$A$"&amp;COUNTA(MID(Sheets,FIND("]",Sheets)+1,255))))),ROW(220:220)),1),"")</f>
        <v/>
      </c>
    </row>
    <row r="227" spans="4:4" x14ac:dyDescent="0.2">
      <c r="D227" s="17" t="str">
        <f t="array" aca="1" ref="D227" ca="1">IFERROR(INDEX(MID(Sheets,FIND("]",Sheets)+1,255),SMALL(IF(MID(Sheets,FIND("]",Sheets)+1,255)&lt;&gt;MID(CELL("filename",A221),FIND("]",CELL("filename",A221))+1,255),ROW(INDIRECT("$A$1:$A$"&amp;COUNTA(MID(Sheets,FIND("]",Sheets)+1,255))))),ROW(221:221)),1),"")</f>
        <v/>
      </c>
    </row>
    <row r="228" spans="4:4" x14ac:dyDescent="0.2">
      <c r="D228" s="17" t="str">
        <f t="array" aca="1" ref="D228" ca="1">IFERROR(INDEX(MID(Sheets,FIND("]",Sheets)+1,255),SMALL(IF(MID(Sheets,FIND("]",Sheets)+1,255)&lt;&gt;MID(CELL("filename",A222),FIND("]",CELL("filename",A222))+1,255),ROW(INDIRECT("$A$1:$A$"&amp;COUNTA(MID(Sheets,FIND("]",Sheets)+1,255))))),ROW(222:222)),1),"")</f>
        <v/>
      </c>
    </row>
    <row r="229" spans="4:4" x14ac:dyDescent="0.2">
      <c r="D229" s="17" t="str">
        <f t="array" aca="1" ref="D229" ca="1">IFERROR(INDEX(MID(Sheets,FIND("]",Sheets)+1,255),SMALL(IF(MID(Sheets,FIND("]",Sheets)+1,255)&lt;&gt;MID(CELL("filename",A223),FIND("]",CELL("filename",A223))+1,255),ROW(INDIRECT("$A$1:$A$"&amp;COUNTA(MID(Sheets,FIND("]",Sheets)+1,255))))),ROW(223:223)),1),"")</f>
        <v/>
      </c>
    </row>
    <row r="230" spans="4:4" x14ac:dyDescent="0.2">
      <c r="D230" s="17" t="str">
        <f t="array" aca="1" ref="D230" ca="1">IFERROR(INDEX(MID(Sheets,FIND("]",Sheets)+1,255),SMALL(IF(MID(Sheets,FIND("]",Sheets)+1,255)&lt;&gt;MID(CELL("filename",A224),FIND("]",CELL("filename",A224))+1,255),ROW(INDIRECT("$A$1:$A$"&amp;COUNTA(MID(Sheets,FIND("]",Sheets)+1,255))))),ROW(224:224)),1),"")</f>
        <v/>
      </c>
    </row>
    <row r="231" spans="4:4" x14ac:dyDescent="0.2">
      <c r="D231" s="17" t="str">
        <f t="array" aca="1" ref="D231" ca="1">IFERROR(INDEX(MID(Sheets,FIND("]",Sheets)+1,255),SMALL(IF(MID(Sheets,FIND("]",Sheets)+1,255)&lt;&gt;MID(CELL("filename",A225),FIND("]",CELL("filename",A225))+1,255),ROW(INDIRECT("$A$1:$A$"&amp;COUNTA(MID(Sheets,FIND("]",Sheets)+1,255))))),ROW(225:225)),1),"")</f>
        <v/>
      </c>
    </row>
    <row r="232" spans="4:4" x14ac:dyDescent="0.2">
      <c r="D232" s="17" t="str">
        <f t="array" aca="1" ref="D232" ca="1">IFERROR(INDEX(MID(Sheets,FIND("]",Sheets)+1,255),SMALL(IF(MID(Sheets,FIND("]",Sheets)+1,255)&lt;&gt;MID(CELL("filename",A226),FIND("]",CELL("filename",A226))+1,255),ROW(INDIRECT("$A$1:$A$"&amp;COUNTA(MID(Sheets,FIND("]",Sheets)+1,255))))),ROW(226:226)),1),"")</f>
        <v/>
      </c>
    </row>
    <row r="233" spans="4:4" x14ac:dyDescent="0.2">
      <c r="D233" s="17" t="str">
        <f t="array" aca="1" ref="D233" ca="1">IFERROR(INDEX(MID(Sheets,FIND("]",Sheets)+1,255),SMALL(IF(MID(Sheets,FIND("]",Sheets)+1,255)&lt;&gt;MID(CELL("filename",A227),FIND("]",CELL("filename",A227))+1,255),ROW(INDIRECT("$A$1:$A$"&amp;COUNTA(MID(Sheets,FIND("]",Sheets)+1,255))))),ROW(227:227)),1),"")</f>
        <v/>
      </c>
    </row>
    <row r="234" spans="4:4" x14ac:dyDescent="0.2">
      <c r="D234" s="17" t="str">
        <f t="array" aca="1" ref="D234" ca="1">IFERROR(INDEX(MID(Sheets,FIND("]",Sheets)+1,255),SMALL(IF(MID(Sheets,FIND("]",Sheets)+1,255)&lt;&gt;MID(CELL("filename",A228),FIND("]",CELL("filename",A228))+1,255),ROW(INDIRECT("$A$1:$A$"&amp;COUNTA(MID(Sheets,FIND("]",Sheets)+1,255))))),ROW(228:228)),1),"")</f>
        <v/>
      </c>
    </row>
    <row r="235" spans="4:4" x14ac:dyDescent="0.2">
      <c r="D235" s="17" t="str">
        <f t="array" aca="1" ref="D235" ca="1">IFERROR(INDEX(MID(Sheets,FIND("]",Sheets)+1,255),SMALL(IF(MID(Sheets,FIND("]",Sheets)+1,255)&lt;&gt;MID(CELL("filename",A229),FIND("]",CELL("filename",A229))+1,255),ROW(INDIRECT("$A$1:$A$"&amp;COUNTA(MID(Sheets,FIND("]",Sheets)+1,255))))),ROW(229:229)),1),"")</f>
        <v/>
      </c>
    </row>
    <row r="236" spans="4:4" x14ac:dyDescent="0.2">
      <c r="D236" s="17" t="str">
        <f t="array" aca="1" ref="D236" ca="1">IFERROR(INDEX(MID(Sheets,FIND("]",Sheets)+1,255),SMALL(IF(MID(Sheets,FIND("]",Sheets)+1,255)&lt;&gt;MID(CELL("filename",A230),FIND("]",CELL("filename",A230))+1,255),ROW(INDIRECT("$A$1:$A$"&amp;COUNTA(MID(Sheets,FIND("]",Sheets)+1,255))))),ROW(230:230)),1),"")</f>
        <v/>
      </c>
    </row>
    <row r="237" spans="4:4" x14ac:dyDescent="0.2">
      <c r="D237" s="17" t="str">
        <f t="array" aca="1" ref="D237" ca="1">IFERROR(INDEX(MID(Sheets,FIND("]",Sheets)+1,255),SMALL(IF(MID(Sheets,FIND("]",Sheets)+1,255)&lt;&gt;MID(CELL("filename",A231),FIND("]",CELL("filename",A231))+1,255),ROW(INDIRECT("$A$1:$A$"&amp;COUNTA(MID(Sheets,FIND("]",Sheets)+1,255))))),ROW(231:231)),1),"")</f>
        <v/>
      </c>
    </row>
    <row r="238" spans="4:4" x14ac:dyDescent="0.2">
      <c r="D238" s="17" t="str">
        <f t="array" aca="1" ref="D238" ca="1">IFERROR(INDEX(MID(Sheets,FIND("]",Sheets)+1,255),SMALL(IF(MID(Sheets,FIND("]",Sheets)+1,255)&lt;&gt;MID(CELL("filename",A232),FIND("]",CELL("filename",A232))+1,255),ROW(INDIRECT("$A$1:$A$"&amp;COUNTA(MID(Sheets,FIND("]",Sheets)+1,255))))),ROW(232:232)),1),"")</f>
        <v/>
      </c>
    </row>
    <row r="239" spans="4:4" x14ac:dyDescent="0.2">
      <c r="D239" s="17" t="str">
        <f t="array" aca="1" ref="D239" ca="1">IFERROR(INDEX(MID(Sheets,FIND("]",Sheets)+1,255),SMALL(IF(MID(Sheets,FIND("]",Sheets)+1,255)&lt;&gt;MID(CELL("filename",A233),FIND("]",CELL("filename",A233))+1,255),ROW(INDIRECT("$A$1:$A$"&amp;COUNTA(MID(Sheets,FIND("]",Sheets)+1,255))))),ROW(233:233)),1),"")</f>
        <v/>
      </c>
    </row>
    <row r="240" spans="4:4" x14ac:dyDescent="0.2">
      <c r="D240" s="17" t="str">
        <f t="array" aca="1" ref="D240" ca="1">IFERROR(INDEX(MID(Sheets,FIND("]",Sheets)+1,255),SMALL(IF(MID(Sheets,FIND("]",Sheets)+1,255)&lt;&gt;MID(CELL("filename",A234),FIND("]",CELL("filename",A234))+1,255),ROW(INDIRECT("$A$1:$A$"&amp;COUNTA(MID(Sheets,FIND("]",Sheets)+1,255))))),ROW(234:234)),1),"")</f>
        <v/>
      </c>
    </row>
    <row r="241" spans="4:4" x14ac:dyDescent="0.2">
      <c r="D241" s="17" t="str">
        <f t="array" aca="1" ref="D241" ca="1">IFERROR(INDEX(MID(Sheets,FIND("]",Sheets)+1,255),SMALL(IF(MID(Sheets,FIND("]",Sheets)+1,255)&lt;&gt;MID(CELL("filename",A235),FIND("]",CELL("filename",A235))+1,255),ROW(INDIRECT("$A$1:$A$"&amp;COUNTA(MID(Sheets,FIND("]",Sheets)+1,255))))),ROW(235:235)),1),"")</f>
        <v/>
      </c>
    </row>
    <row r="242" spans="4:4" x14ac:dyDescent="0.2">
      <c r="D242" s="17" t="str">
        <f t="array" aca="1" ref="D242" ca="1">IFERROR(INDEX(MID(Sheets,FIND("]",Sheets)+1,255),SMALL(IF(MID(Sheets,FIND("]",Sheets)+1,255)&lt;&gt;MID(CELL("filename",A236),FIND("]",CELL("filename",A236))+1,255),ROW(INDIRECT("$A$1:$A$"&amp;COUNTA(MID(Sheets,FIND("]",Sheets)+1,255))))),ROW(236:236)),1),"")</f>
        <v/>
      </c>
    </row>
    <row r="243" spans="4:4" x14ac:dyDescent="0.2">
      <c r="D243" s="17" t="str">
        <f t="array" aca="1" ref="D243" ca="1">IFERROR(INDEX(MID(Sheets,FIND("]",Sheets)+1,255),SMALL(IF(MID(Sheets,FIND("]",Sheets)+1,255)&lt;&gt;MID(CELL("filename",A237),FIND("]",CELL("filename",A237))+1,255),ROW(INDIRECT("$A$1:$A$"&amp;COUNTA(MID(Sheets,FIND("]",Sheets)+1,255))))),ROW(237:237)),1),"")</f>
        <v/>
      </c>
    </row>
    <row r="244" spans="4:4" x14ac:dyDescent="0.2">
      <c r="D244" s="17" t="str">
        <f t="array" aca="1" ref="D244" ca="1">IFERROR(INDEX(MID(Sheets,FIND("]",Sheets)+1,255),SMALL(IF(MID(Sheets,FIND("]",Sheets)+1,255)&lt;&gt;MID(CELL("filename",A238),FIND("]",CELL("filename",A238))+1,255),ROW(INDIRECT("$A$1:$A$"&amp;COUNTA(MID(Sheets,FIND("]",Sheets)+1,255))))),ROW(238:238)),1),"")</f>
        <v/>
      </c>
    </row>
    <row r="245" spans="4:4" x14ac:dyDescent="0.2">
      <c r="D245" s="17" t="str">
        <f t="array" aca="1" ref="D245" ca="1">IFERROR(INDEX(MID(Sheets,FIND("]",Sheets)+1,255),SMALL(IF(MID(Sheets,FIND("]",Sheets)+1,255)&lt;&gt;MID(CELL("filename",A239),FIND("]",CELL("filename",A239))+1,255),ROW(INDIRECT("$A$1:$A$"&amp;COUNTA(MID(Sheets,FIND("]",Sheets)+1,255))))),ROW(239:239)),1),"")</f>
        <v/>
      </c>
    </row>
    <row r="246" spans="4:4" x14ac:dyDescent="0.2">
      <c r="D246" s="17" t="str">
        <f t="array" aca="1" ref="D246" ca="1">IFERROR(INDEX(MID(Sheets,FIND("]",Sheets)+1,255),SMALL(IF(MID(Sheets,FIND("]",Sheets)+1,255)&lt;&gt;MID(CELL("filename",A240),FIND("]",CELL("filename",A240))+1,255),ROW(INDIRECT("$A$1:$A$"&amp;COUNTA(MID(Sheets,FIND("]",Sheets)+1,255))))),ROW(240:240)),1),"")</f>
        <v/>
      </c>
    </row>
    <row r="247" spans="4:4" x14ac:dyDescent="0.2">
      <c r="D247" s="17" t="str">
        <f t="array" aca="1" ref="D247" ca="1">IFERROR(INDEX(MID(Sheets,FIND("]",Sheets)+1,255),SMALL(IF(MID(Sheets,FIND("]",Sheets)+1,255)&lt;&gt;MID(CELL("filename",A241),FIND("]",CELL("filename",A241))+1,255),ROW(INDIRECT("$A$1:$A$"&amp;COUNTA(MID(Sheets,FIND("]",Sheets)+1,255))))),ROW(241:241)),1),"")</f>
        <v/>
      </c>
    </row>
    <row r="248" spans="4:4" x14ac:dyDescent="0.2">
      <c r="D248" s="17" t="str">
        <f t="array" aca="1" ref="D248" ca="1">IFERROR(INDEX(MID(Sheets,FIND("]",Sheets)+1,255),SMALL(IF(MID(Sheets,FIND("]",Sheets)+1,255)&lt;&gt;MID(CELL("filename",A242),FIND("]",CELL("filename",A242))+1,255),ROW(INDIRECT("$A$1:$A$"&amp;COUNTA(MID(Sheets,FIND("]",Sheets)+1,255))))),ROW(242:242)),1),"")</f>
        <v/>
      </c>
    </row>
    <row r="249" spans="4:4" x14ac:dyDescent="0.2">
      <c r="D249" s="17" t="str">
        <f t="array" aca="1" ref="D249" ca="1">IFERROR(INDEX(MID(Sheets,FIND("]",Sheets)+1,255),SMALL(IF(MID(Sheets,FIND("]",Sheets)+1,255)&lt;&gt;MID(CELL("filename",A243),FIND("]",CELL("filename",A243))+1,255),ROW(INDIRECT("$A$1:$A$"&amp;COUNTA(MID(Sheets,FIND("]",Sheets)+1,255))))),ROW(243:243)),1),"")</f>
        <v/>
      </c>
    </row>
    <row r="250" spans="4:4" x14ac:dyDescent="0.2">
      <c r="D250" s="17" t="str">
        <f t="array" aca="1" ref="D250" ca="1">IFERROR(INDEX(MID(Sheets,FIND("]",Sheets)+1,255),SMALL(IF(MID(Sheets,FIND("]",Sheets)+1,255)&lt;&gt;MID(CELL("filename",A244),FIND("]",CELL("filename",A244))+1,255),ROW(INDIRECT("$A$1:$A$"&amp;COUNTA(MID(Sheets,FIND("]",Sheets)+1,255))))),ROW(244:244)),1),"")</f>
        <v/>
      </c>
    </row>
    <row r="251" spans="4:4" x14ac:dyDescent="0.2">
      <c r="D251" s="17" t="str">
        <f t="array" aca="1" ref="D251" ca="1">IFERROR(INDEX(MID(Sheets,FIND("]",Sheets)+1,255),SMALL(IF(MID(Sheets,FIND("]",Sheets)+1,255)&lt;&gt;MID(CELL("filename",A245),FIND("]",CELL("filename",A245))+1,255),ROW(INDIRECT("$A$1:$A$"&amp;COUNTA(MID(Sheets,FIND("]",Sheets)+1,255))))),ROW(245:245)),1),"")</f>
        <v/>
      </c>
    </row>
    <row r="252" spans="4:4" x14ac:dyDescent="0.2">
      <c r="D252" s="17" t="str">
        <f t="array" aca="1" ref="D252" ca="1">IFERROR(INDEX(MID(Sheets,FIND("]",Sheets)+1,255),SMALL(IF(MID(Sheets,FIND("]",Sheets)+1,255)&lt;&gt;MID(CELL("filename",A246),FIND("]",CELL("filename",A246))+1,255),ROW(INDIRECT("$A$1:$A$"&amp;COUNTA(MID(Sheets,FIND("]",Sheets)+1,255))))),ROW(246:246)),1),"")</f>
        <v/>
      </c>
    </row>
    <row r="253" spans="4:4" x14ac:dyDescent="0.2">
      <c r="D253" s="17" t="str">
        <f t="array" aca="1" ref="D253" ca="1">IFERROR(INDEX(MID(Sheets,FIND("]",Sheets)+1,255),SMALL(IF(MID(Sheets,FIND("]",Sheets)+1,255)&lt;&gt;MID(CELL("filename",A247),FIND("]",CELL("filename",A247))+1,255),ROW(INDIRECT("$A$1:$A$"&amp;COUNTA(MID(Sheets,FIND("]",Sheets)+1,255))))),ROW(247:247)),1),"")</f>
        <v/>
      </c>
    </row>
    <row r="254" spans="4:4" x14ac:dyDescent="0.2">
      <c r="D254" s="17" t="str">
        <f t="array" aca="1" ref="D254" ca="1">IFERROR(INDEX(MID(Sheets,FIND("]",Sheets)+1,255),SMALL(IF(MID(Sheets,FIND("]",Sheets)+1,255)&lt;&gt;MID(CELL("filename",A248),FIND("]",CELL("filename",A248))+1,255),ROW(INDIRECT("$A$1:$A$"&amp;COUNTA(MID(Sheets,FIND("]",Sheets)+1,255))))),ROW(248:248)),1),"")</f>
        <v/>
      </c>
    </row>
    <row r="255" spans="4:4" x14ac:dyDescent="0.2">
      <c r="D255" s="17" t="str">
        <f t="array" aca="1" ref="D255" ca="1">IFERROR(INDEX(MID(Sheets,FIND("]",Sheets)+1,255),SMALL(IF(MID(Sheets,FIND("]",Sheets)+1,255)&lt;&gt;MID(CELL("filename",A249),FIND("]",CELL("filename",A249))+1,255),ROW(INDIRECT("$A$1:$A$"&amp;COUNTA(MID(Sheets,FIND("]",Sheets)+1,255))))),ROW(249:249)),1),"")</f>
        <v/>
      </c>
    </row>
    <row r="256" spans="4:4" x14ac:dyDescent="0.2">
      <c r="D256" s="17" t="str">
        <f t="array" aca="1" ref="D256" ca="1">IFERROR(INDEX(MID(Sheets,FIND("]",Sheets)+1,255),SMALL(IF(MID(Sheets,FIND("]",Sheets)+1,255)&lt;&gt;MID(CELL("filename",A250),FIND("]",CELL("filename",A250))+1,255),ROW(INDIRECT("$A$1:$A$"&amp;COUNTA(MID(Sheets,FIND("]",Sheets)+1,255))))),ROW(250:250)),1),"")</f>
        <v/>
      </c>
    </row>
    <row r="257" spans="4:4" x14ac:dyDescent="0.2">
      <c r="D257" s="17" t="str">
        <f t="array" aca="1" ref="D257" ca="1">IFERROR(INDEX(MID(Sheets,FIND("]",Sheets)+1,255),SMALL(IF(MID(Sheets,FIND("]",Sheets)+1,255)&lt;&gt;MID(CELL("filename",A251),FIND("]",CELL("filename",A251))+1,255),ROW(INDIRECT("$A$1:$A$"&amp;COUNTA(MID(Sheets,FIND("]",Sheets)+1,255))))),ROW(251:251)),1),"")</f>
        <v/>
      </c>
    </row>
    <row r="258" spans="4:4" x14ac:dyDescent="0.2">
      <c r="D258" s="17" t="str">
        <f t="array" aca="1" ref="D258" ca="1">IFERROR(INDEX(MID(Sheets,FIND("]",Sheets)+1,255),SMALL(IF(MID(Sheets,FIND("]",Sheets)+1,255)&lt;&gt;MID(CELL("filename",A252),FIND("]",CELL("filename",A252))+1,255),ROW(INDIRECT("$A$1:$A$"&amp;COUNTA(MID(Sheets,FIND("]",Sheets)+1,255))))),ROW(252:252)),1),"")</f>
        <v/>
      </c>
    </row>
    <row r="259" spans="4:4" x14ac:dyDescent="0.2">
      <c r="D259" s="17" t="str">
        <f t="array" aca="1" ref="D259" ca="1">IFERROR(INDEX(MID(Sheets,FIND("]",Sheets)+1,255),SMALL(IF(MID(Sheets,FIND("]",Sheets)+1,255)&lt;&gt;MID(CELL("filename",A253),FIND("]",CELL("filename",A253))+1,255),ROW(INDIRECT("$A$1:$A$"&amp;COUNTA(MID(Sheets,FIND("]",Sheets)+1,255))))),ROW(253:253)),1),"")</f>
        <v/>
      </c>
    </row>
    <row r="260" spans="4:4" x14ac:dyDescent="0.2">
      <c r="D260" s="17" t="str">
        <f t="array" aca="1" ref="D260" ca="1">IFERROR(INDEX(MID(Sheets,FIND("]",Sheets)+1,255),SMALL(IF(MID(Sheets,FIND("]",Sheets)+1,255)&lt;&gt;MID(CELL("filename",A254),FIND("]",CELL("filename",A254))+1,255),ROW(INDIRECT("$A$1:$A$"&amp;COUNTA(MID(Sheets,FIND("]",Sheets)+1,255))))),ROW(254:254)),1),"")</f>
        <v/>
      </c>
    </row>
    <row r="261" spans="4:4" x14ac:dyDescent="0.2">
      <c r="D261" s="17" t="str">
        <f t="array" aca="1" ref="D261" ca="1">IFERROR(INDEX(MID(Sheets,FIND("]",Sheets)+1,255),SMALL(IF(MID(Sheets,FIND("]",Sheets)+1,255)&lt;&gt;MID(CELL("filename",A255),FIND("]",CELL("filename",A255))+1,255),ROW(INDIRECT("$A$1:$A$"&amp;COUNTA(MID(Sheets,FIND("]",Sheets)+1,255))))),ROW(255:255)),1),"")</f>
        <v/>
      </c>
    </row>
    <row r="262" spans="4:4" x14ac:dyDescent="0.2">
      <c r="D262" s="17" t="str">
        <f t="array" aca="1" ref="D262" ca="1">IFERROR(INDEX(MID(Sheets,FIND("]",Sheets)+1,255),SMALL(IF(MID(Sheets,FIND("]",Sheets)+1,255)&lt;&gt;MID(CELL("filename",A256),FIND("]",CELL("filename",A256))+1,255),ROW(INDIRECT("$A$1:$A$"&amp;COUNTA(MID(Sheets,FIND("]",Sheets)+1,255))))),ROW(256:256)),1),"")</f>
        <v/>
      </c>
    </row>
    <row r="263" spans="4:4" x14ac:dyDescent="0.2">
      <c r="D263" s="17" t="str">
        <f t="array" aca="1" ref="D263" ca="1">IFERROR(INDEX(MID(Sheets,FIND("]",Sheets)+1,255),SMALL(IF(MID(Sheets,FIND("]",Sheets)+1,255)&lt;&gt;MID(CELL("filename",A257),FIND("]",CELL("filename",A257))+1,255),ROW(INDIRECT("$A$1:$A$"&amp;COUNTA(MID(Sheets,FIND("]",Sheets)+1,255))))),ROW(257:257)),1),"")</f>
        <v/>
      </c>
    </row>
    <row r="264" spans="4:4" x14ac:dyDescent="0.2">
      <c r="D264" s="17" t="str">
        <f t="array" aca="1" ref="D264" ca="1">IFERROR(INDEX(MID(Sheets,FIND("]",Sheets)+1,255),SMALL(IF(MID(Sheets,FIND("]",Sheets)+1,255)&lt;&gt;MID(CELL("filename",A258),FIND("]",CELL("filename",A258))+1,255),ROW(INDIRECT("$A$1:$A$"&amp;COUNTA(MID(Sheets,FIND("]",Sheets)+1,255))))),ROW(258:258)),1),"")</f>
        <v/>
      </c>
    </row>
    <row r="265" spans="4:4" x14ac:dyDescent="0.2">
      <c r="D265" s="17" t="str">
        <f t="array" aca="1" ref="D265" ca="1">IFERROR(INDEX(MID(Sheets,FIND("]",Sheets)+1,255),SMALL(IF(MID(Sheets,FIND("]",Sheets)+1,255)&lt;&gt;MID(CELL("filename",A259),FIND("]",CELL("filename",A259))+1,255),ROW(INDIRECT("$A$1:$A$"&amp;COUNTA(MID(Sheets,FIND("]",Sheets)+1,255))))),ROW(259:259)),1),"")</f>
        <v/>
      </c>
    </row>
    <row r="266" spans="4:4" x14ac:dyDescent="0.2">
      <c r="D266" s="17" t="str">
        <f t="array" aca="1" ref="D266" ca="1">IFERROR(INDEX(MID(Sheets,FIND("]",Sheets)+1,255),SMALL(IF(MID(Sheets,FIND("]",Sheets)+1,255)&lt;&gt;MID(CELL("filename",A260),FIND("]",CELL("filename",A260))+1,255),ROW(INDIRECT("$A$1:$A$"&amp;COUNTA(MID(Sheets,FIND("]",Sheets)+1,255))))),ROW(260:260)),1),"")</f>
        <v/>
      </c>
    </row>
    <row r="267" spans="4:4" x14ac:dyDescent="0.2">
      <c r="D267" s="17" t="str">
        <f t="array" aca="1" ref="D267" ca="1">IFERROR(INDEX(MID(Sheets,FIND("]",Sheets)+1,255),SMALL(IF(MID(Sheets,FIND("]",Sheets)+1,255)&lt;&gt;MID(CELL("filename",A261),FIND("]",CELL("filename",A261))+1,255),ROW(INDIRECT("$A$1:$A$"&amp;COUNTA(MID(Sheets,FIND("]",Sheets)+1,255))))),ROW(261:261)),1),"")</f>
        <v/>
      </c>
    </row>
    <row r="268" spans="4:4" x14ac:dyDescent="0.2">
      <c r="D268" s="17" t="str">
        <f t="array" aca="1" ref="D268" ca="1">IFERROR(INDEX(MID(Sheets,FIND("]",Sheets)+1,255),SMALL(IF(MID(Sheets,FIND("]",Sheets)+1,255)&lt;&gt;MID(CELL("filename",A262),FIND("]",CELL("filename",A262))+1,255),ROW(INDIRECT("$A$1:$A$"&amp;COUNTA(MID(Sheets,FIND("]",Sheets)+1,255))))),ROW(262:262)),1),"")</f>
        <v/>
      </c>
    </row>
    <row r="269" spans="4:4" x14ac:dyDescent="0.2">
      <c r="D269" s="17" t="str">
        <f t="array" aca="1" ref="D269" ca="1">IFERROR(INDEX(MID(Sheets,FIND("]",Sheets)+1,255),SMALL(IF(MID(Sheets,FIND("]",Sheets)+1,255)&lt;&gt;MID(CELL("filename",A263),FIND("]",CELL("filename",A263))+1,255),ROW(INDIRECT("$A$1:$A$"&amp;COUNTA(MID(Sheets,FIND("]",Sheets)+1,255))))),ROW(263:263)),1),"")</f>
        <v/>
      </c>
    </row>
    <row r="270" spans="4:4" x14ac:dyDescent="0.2">
      <c r="D270" s="17" t="str">
        <f t="array" aca="1" ref="D270" ca="1">IFERROR(INDEX(MID(Sheets,FIND("]",Sheets)+1,255),SMALL(IF(MID(Sheets,FIND("]",Sheets)+1,255)&lt;&gt;MID(CELL("filename",A264),FIND("]",CELL("filename",A264))+1,255),ROW(INDIRECT("$A$1:$A$"&amp;COUNTA(MID(Sheets,FIND("]",Sheets)+1,255))))),ROW(264:264)),1),"")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C100"/>
  <sheetViews>
    <sheetView workbookViewId="0">
      <selection activeCell="C4" sqref="C4"/>
    </sheetView>
  </sheetViews>
  <sheetFormatPr defaultRowHeight="15" x14ac:dyDescent="0.25"/>
  <sheetData>
    <row r="1" spans="1:3" x14ac:dyDescent="0.25">
      <c r="A1" t="s">
        <v>10</v>
      </c>
    </row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1.3376591663249997</v>
      </c>
      <c r="C4">
        <v>832.8279348605123</v>
      </c>
    </row>
    <row r="5" spans="1:3" x14ac:dyDescent="0.25">
      <c r="A5">
        <v>1000</v>
      </c>
      <c r="B5">
        <v>2.716267083675</v>
      </c>
      <c r="C5">
        <v>1148.5708195736247</v>
      </c>
    </row>
    <row r="6" spans="1:3" x14ac:dyDescent="0.25">
      <c r="A6">
        <v>1000</v>
      </c>
      <c r="B6">
        <v>5.5144316663249997</v>
      </c>
      <c r="C6">
        <v>1725.6007724226247</v>
      </c>
    </row>
    <row r="7" spans="1:3" x14ac:dyDescent="0.25">
      <c r="A7">
        <v>1000</v>
      </c>
      <c r="B7">
        <v>10.960615413249998</v>
      </c>
      <c r="C7">
        <v>2916.9814626837497</v>
      </c>
    </row>
    <row r="8" spans="1:3" x14ac:dyDescent="0.25">
      <c r="A8">
        <v>1000</v>
      </c>
      <c r="B8">
        <v>13.676882499999998</v>
      </c>
      <c r="C8">
        <v>3614.8821060449991</v>
      </c>
    </row>
    <row r="9" spans="1:3" x14ac:dyDescent="0.25">
      <c r="A9">
        <v>1500</v>
      </c>
      <c r="B9">
        <v>2.0883862500000001</v>
      </c>
      <c r="C9">
        <v>1241.7205279734374</v>
      </c>
    </row>
    <row r="10" spans="1:3" x14ac:dyDescent="0.25">
      <c r="A10">
        <v>1500</v>
      </c>
      <c r="B10">
        <v>4.074400625</v>
      </c>
      <c r="C10">
        <v>1655.1814546235623</v>
      </c>
    </row>
    <row r="11" spans="1:3" x14ac:dyDescent="0.25">
      <c r="A11">
        <v>1500</v>
      </c>
      <c r="B11">
        <v>8.1692756249999992</v>
      </c>
      <c r="C11">
        <v>2438.2653154476252</v>
      </c>
    </row>
    <row r="12" spans="1:3" x14ac:dyDescent="0.25">
      <c r="A12">
        <v>1500</v>
      </c>
      <c r="B12">
        <v>12.305099374999999</v>
      </c>
      <c r="C12">
        <v>3314.0893468209374</v>
      </c>
    </row>
    <row r="13" spans="1:3" x14ac:dyDescent="0.25">
      <c r="A13">
        <v>1500</v>
      </c>
      <c r="B13">
        <v>20.494849374999998</v>
      </c>
      <c r="C13">
        <v>5161.4587331104367</v>
      </c>
    </row>
    <row r="14" spans="1:3" x14ac:dyDescent="0.25">
      <c r="A14">
        <v>1500</v>
      </c>
      <c r="B14">
        <v>28.684599374999998</v>
      </c>
      <c r="C14">
        <v>7391.1607209562499</v>
      </c>
    </row>
    <row r="15" spans="1:3" x14ac:dyDescent="0.25">
      <c r="A15">
        <v>1500</v>
      </c>
      <c r="B15">
        <v>32.840897499999997</v>
      </c>
      <c r="C15">
        <v>8589.7173660612516</v>
      </c>
    </row>
    <row r="16" spans="1:3" x14ac:dyDescent="0.25">
      <c r="A16">
        <v>1500</v>
      </c>
      <c r="B16">
        <v>36.956246874999998</v>
      </c>
      <c r="C16">
        <v>9855.0484416624986</v>
      </c>
    </row>
    <row r="17" spans="1:3" x14ac:dyDescent="0.25">
      <c r="A17">
        <v>1500</v>
      </c>
      <c r="B17">
        <v>38.532773749999997</v>
      </c>
      <c r="C17">
        <v>10239.997925321561</v>
      </c>
    </row>
    <row r="18" spans="1:3" x14ac:dyDescent="0.25">
      <c r="A18">
        <v>2000</v>
      </c>
      <c r="B18">
        <v>2.7845149999999999</v>
      </c>
      <c r="C18">
        <v>1675.801877935</v>
      </c>
    </row>
    <row r="19" spans="1:3" x14ac:dyDescent="0.25">
      <c r="A19">
        <v>2000</v>
      </c>
      <c r="B19">
        <v>5.5144316663249997</v>
      </c>
      <c r="C19">
        <v>2210.6033084547498</v>
      </c>
    </row>
    <row r="20" spans="1:3" x14ac:dyDescent="0.25">
      <c r="A20">
        <v>2000</v>
      </c>
      <c r="B20">
        <v>16.461397499999997</v>
      </c>
      <c r="C20">
        <v>4321.8905294324995</v>
      </c>
    </row>
    <row r="21" spans="1:3" x14ac:dyDescent="0.25">
      <c r="A21">
        <v>2000</v>
      </c>
      <c r="B21">
        <v>21.866632499999998</v>
      </c>
      <c r="C21">
        <v>5511.2879219324996</v>
      </c>
    </row>
    <row r="22" spans="1:3" x14ac:dyDescent="0.25">
      <c r="A22">
        <v>2000</v>
      </c>
      <c r="B22">
        <v>27.271867499999999</v>
      </c>
      <c r="C22">
        <v>6772.5046718774993</v>
      </c>
    </row>
    <row r="23" spans="1:3" x14ac:dyDescent="0.25">
      <c r="A23">
        <v>2000</v>
      </c>
      <c r="B23">
        <v>32.813598336749997</v>
      </c>
      <c r="C23">
        <v>8047.3052957097498</v>
      </c>
    </row>
    <row r="24" spans="1:3" x14ac:dyDescent="0.25">
      <c r="A24">
        <v>2000</v>
      </c>
      <c r="B24">
        <v>38.164234999999998</v>
      </c>
      <c r="C24">
        <v>9434.1988919999985</v>
      </c>
    </row>
    <row r="25" spans="1:3" x14ac:dyDescent="0.25">
      <c r="A25">
        <v>2000</v>
      </c>
      <c r="B25">
        <v>43.651367499999999</v>
      </c>
      <c r="C25">
        <v>11069.375678855</v>
      </c>
    </row>
    <row r="26" spans="1:3" x14ac:dyDescent="0.25">
      <c r="A26">
        <v>2000</v>
      </c>
      <c r="B26">
        <v>49.138499999999993</v>
      </c>
      <c r="C26">
        <v>12734.143998</v>
      </c>
    </row>
    <row r="27" spans="1:3" x14ac:dyDescent="0.25">
      <c r="A27">
        <v>2000</v>
      </c>
      <c r="B27">
        <v>51.540826663249995</v>
      </c>
      <c r="C27">
        <v>13484.111076052499</v>
      </c>
    </row>
    <row r="28" spans="1:3" x14ac:dyDescent="0.25">
      <c r="A28">
        <v>2500</v>
      </c>
      <c r="B28">
        <v>3.4123958336749998</v>
      </c>
      <c r="C28">
        <v>2068.6327432653125</v>
      </c>
    </row>
    <row r="29" spans="1:3" x14ac:dyDescent="0.25">
      <c r="A29">
        <v>2500</v>
      </c>
      <c r="B29">
        <v>6.7565437499999996</v>
      </c>
      <c r="C29">
        <v>2764.0091456484374</v>
      </c>
    </row>
    <row r="30" spans="1:3" x14ac:dyDescent="0.25">
      <c r="A30">
        <v>2500</v>
      </c>
      <c r="B30">
        <v>13.649583336749998</v>
      </c>
      <c r="C30">
        <v>4135.1412711878129</v>
      </c>
    </row>
    <row r="31" spans="1:3" x14ac:dyDescent="0.25">
      <c r="A31">
        <v>2500</v>
      </c>
      <c r="B31">
        <v>20.474374999999998</v>
      </c>
      <c r="C31">
        <v>5478.3541117187506</v>
      </c>
    </row>
    <row r="32" spans="1:3" x14ac:dyDescent="0.25">
      <c r="A32">
        <v>2500</v>
      </c>
      <c r="B32">
        <v>40.982873961749995</v>
      </c>
      <c r="C32">
        <v>10098.436286472814</v>
      </c>
    </row>
    <row r="33" spans="1:3" x14ac:dyDescent="0.25">
      <c r="A33">
        <v>2500</v>
      </c>
      <c r="B33">
        <v>47.739417711749994</v>
      </c>
      <c r="C33">
        <v>11837.585365275001</v>
      </c>
    </row>
    <row r="34" spans="1:3" x14ac:dyDescent="0.25">
      <c r="A34">
        <v>2500</v>
      </c>
      <c r="B34">
        <v>54.598333336749995</v>
      </c>
      <c r="C34">
        <v>13838.561818128124</v>
      </c>
    </row>
    <row r="35" spans="1:3" x14ac:dyDescent="0.25">
      <c r="A35">
        <v>2500</v>
      </c>
      <c r="B35">
        <v>61.457248961749997</v>
      </c>
      <c r="C35">
        <v>15602.535899971876</v>
      </c>
    </row>
    <row r="36" spans="1:3" x14ac:dyDescent="0.25">
      <c r="A36">
        <v>2500</v>
      </c>
      <c r="B36">
        <v>64.391909374999997</v>
      </c>
      <c r="C36">
        <v>17282.868963478126</v>
      </c>
    </row>
    <row r="37" spans="1:3" x14ac:dyDescent="0.25">
      <c r="A37">
        <v>3000</v>
      </c>
      <c r="B37">
        <v>8.14880125</v>
      </c>
      <c r="C37">
        <v>3397.6834251937494</v>
      </c>
    </row>
    <row r="38" spans="1:3" x14ac:dyDescent="0.25">
      <c r="A38">
        <v>3000</v>
      </c>
      <c r="B38">
        <v>16.3795</v>
      </c>
      <c r="C38">
        <v>5010.0222342499992</v>
      </c>
    </row>
    <row r="39" spans="1:3" x14ac:dyDescent="0.25">
      <c r="A39">
        <v>3000</v>
      </c>
      <c r="B39">
        <v>24.610198749999999</v>
      </c>
      <c r="C39">
        <v>6789.4616311499994</v>
      </c>
    </row>
    <row r="40" spans="1:3" x14ac:dyDescent="0.25">
      <c r="A40">
        <v>3000</v>
      </c>
      <c r="B40">
        <v>32.840897499999997</v>
      </c>
      <c r="C40">
        <v>8672.3450641712479</v>
      </c>
    </row>
    <row r="41" spans="1:3" x14ac:dyDescent="0.25">
      <c r="A41">
        <v>3000</v>
      </c>
      <c r="B41">
        <v>40.948749999999997</v>
      </c>
      <c r="C41">
        <v>10423.995697499997</v>
      </c>
    </row>
    <row r="42" spans="1:3" x14ac:dyDescent="0.25">
      <c r="A42">
        <v>3000</v>
      </c>
      <c r="B42">
        <v>65.518000000000001</v>
      </c>
      <c r="C42">
        <v>16856.405521999997</v>
      </c>
    </row>
    <row r="43" spans="1:3" x14ac:dyDescent="0.25">
      <c r="A43">
        <v>3000</v>
      </c>
      <c r="B43">
        <v>73.70774999999999</v>
      </c>
      <c r="C43">
        <v>19933.966156499999</v>
      </c>
    </row>
    <row r="44" spans="1:3" x14ac:dyDescent="0.25">
      <c r="A44">
        <v>3000</v>
      </c>
      <c r="B44">
        <v>77.311239999999998</v>
      </c>
      <c r="C44">
        <v>21110.491227539995</v>
      </c>
    </row>
    <row r="45" spans="1:3" x14ac:dyDescent="0.25">
      <c r="A45">
        <v>3500</v>
      </c>
      <c r="B45">
        <v>9.6024818750000005</v>
      </c>
      <c r="C45">
        <v>4176.0521500643745</v>
      </c>
    </row>
    <row r="46" spans="1:3" x14ac:dyDescent="0.25">
      <c r="A46">
        <v>3500</v>
      </c>
      <c r="B46">
        <v>19.157190211749999</v>
      </c>
      <c r="C46">
        <v>6109.3716363640615</v>
      </c>
    </row>
    <row r="47" spans="1:3" x14ac:dyDescent="0.25">
      <c r="A47">
        <v>3500</v>
      </c>
      <c r="B47">
        <v>38.266606874999994</v>
      </c>
      <c r="C47">
        <v>10302.499435652811</v>
      </c>
    </row>
    <row r="48" spans="1:3" x14ac:dyDescent="0.25">
      <c r="A48">
        <v>3500</v>
      </c>
      <c r="B48">
        <v>47.869088749999996</v>
      </c>
      <c r="C48">
        <v>12373.872227342501</v>
      </c>
    </row>
    <row r="49" spans="1:3" x14ac:dyDescent="0.25">
      <c r="A49">
        <v>3500</v>
      </c>
      <c r="B49">
        <v>57.280476461749998</v>
      </c>
      <c r="C49">
        <v>14444.933269189998</v>
      </c>
    </row>
    <row r="50" spans="1:3" x14ac:dyDescent="0.25">
      <c r="A50">
        <v>3500</v>
      </c>
      <c r="B50">
        <v>66.882958336749994</v>
      </c>
      <c r="C50">
        <v>16852.398686812499</v>
      </c>
    </row>
    <row r="51" spans="1:3" x14ac:dyDescent="0.25">
      <c r="A51">
        <v>3500</v>
      </c>
      <c r="B51">
        <v>76.485440211750003</v>
      </c>
      <c r="C51">
        <v>19714.676728644372</v>
      </c>
    </row>
    <row r="52" spans="1:3" x14ac:dyDescent="0.25">
      <c r="A52">
        <v>3500</v>
      </c>
      <c r="B52">
        <v>85.944601461749997</v>
      </c>
      <c r="C52">
        <v>22966.954357065002</v>
      </c>
    </row>
    <row r="53" spans="1:3" x14ac:dyDescent="0.25">
      <c r="A53">
        <v>3500</v>
      </c>
      <c r="B53">
        <v>90.005352500000001</v>
      </c>
      <c r="C53">
        <v>24724.695345131247</v>
      </c>
    </row>
    <row r="54" spans="1:3" x14ac:dyDescent="0.25">
      <c r="A54">
        <v>4000</v>
      </c>
      <c r="B54">
        <v>5.5690299999999997</v>
      </c>
      <c r="C54">
        <v>3782.1621722599994</v>
      </c>
    </row>
    <row r="55" spans="1:3" x14ac:dyDescent="0.25">
      <c r="A55">
        <v>4000</v>
      </c>
      <c r="B55">
        <v>10.91966666325</v>
      </c>
      <c r="C55">
        <v>4868.3805080000011</v>
      </c>
    </row>
    <row r="56" spans="1:3" x14ac:dyDescent="0.25">
      <c r="A56">
        <v>4000</v>
      </c>
      <c r="B56">
        <v>21.730136663249997</v>
      </c>
      <c r="C56">
        <v>7101.3652027554999</v>
      </c>
    </row>
    <row r="57" spans="1:3" x14ac:dyDescent="0.25">
      <c r="A57">
        <v>4000</v>
      </c>
      <c r="B57">
        <v>32.704401663249996</v>
      </c>
      <c r="C57">
        <v>9581.8664175444992</v>
      </c>
    </row>
    <row r="58" spans="1:3" x14ac:dyDescent="0.25">
      <c r="A58">
        <v>4000</v>
      </c>
      <c r="B58">
        <v>43.78786333675</v>
      </c>
      <c r="C58">
        <v>12216.463570714999</v>
      </c>
    </row>
    <row r="59" spans="1:3" x14ac:dyDescent="0.25">
      <c r="A59">
        <v>4000</v>
      </c>
      <c r="B59">
        <v>54.816726663249995</v>
      </c>
      <c r="C59">
        <v>14683.318034765</v>
      </c>
    </row>
    <row r="60" spans="1:3" x14ac:dyDescent="0.25">
      <c r="A60">
        <v>4000</v>
      </c>
      <c r="B60">
        <v>65.408803336749997</v>
      </c>
      <c r="C60">
        <v>16841.066225824998</v>
      </c>
    </row>
    <row r="61" spans="1:3" x14ac:dyDescent="0.25">
      <c r="A61">
        <v>4000</v>
      </c>
      <c r="B61">
        <v>76.492264999999989</v>
      </c>
      <c r="C61">
        <v>19929.90666122</v>
      </c>
    </row>
    <row r="62" spans="1:3" x14ac:dyDescent="0.25">
      <c r="A62">
        <v>4000</v>
      </c>
      <c r="B62">
        <v>87.302734999999998</v>
      </c>
      <c r="C62">
        <v>23745.994709059996</v>
      </c>
    </row>
    <row r="63" spans="1:3" x14ac:dyDescent="0.25">
      <c r="A63">
        <v>4000</v>
      </c>
      <c r="B63">
        <v>98.222401663249983</v>
      </c>
      <c r="C63">
        <v>27934.254585575</v>
      </c>
    </row>
    <row r="64" spans="1:3" x14ac:dyDescent="0.25">
      <c r="A64">
        <v>4000</v>
      </c>
      <c r="B64">
        <v>103.08165336749998</v>
      </c>
      <c r="C64">
        <v>30791.314507514999</v>
      </c>
    </row>
    <row r="65" spans="1:3" x14ac:dyDescent="0.25">
      <c r="A65">
        <v>4500</v>
      </c>
      <c r="B65">
        <v>6.080889374999999</v>
      </c>
      <c r="C65">
        <v>4286.2380145256866</v>
      </c>
    </row>
    <row r="66" spans="1:3" x14ac:dyDescent="0.25">
      <c r="A66">
        <v>4500</v>
      </c>
      <c r="B66">
        <v>12.223201874999999</v>
      </c>
      <c r="C66">
        <v>5758.2006696366243</v>
      </c>
    </row>
    <row r="67" spans="1:3" x14ac:dyDescent="0.25">
      <c r="A67">
        <v>4500</v>
      </c>
      <c r="B67">
        <v>24.630673124999998</v>
      </c>
      <c r="C67">
        <v>8550.5628060168729</v>
      </c>
    </row>
    <row r="68" spans="1:3" x14ac:dyDescent="0.25">
      <c r="A68">
        <v>4500</v>
      </c>
      <c r="B68">
        <v>36.792451874999998</v>
      </c>
      <c r="C68">
        <v>11197.571168822498</v>
      </c>
    </row>
    <row r="69" spans="1:3" x14ac:dyDescent="0.25">
      <c r="A69">
        <v>4500</v>
      </c>
      <c r="B69">
        <v>49.138499999999993</v>
      </c>
      <c r="C69">
        <v>13869.194209499996</v>
      </c>
    </row>
    <row r="70" spans="1:3" x14ac:dyDescent="0.25">
      <c r="A70">
        <v>4500</v>
      </c>
      <c r="B70">
        <v>61.545971249999994</v>
      </c>
      <c r="C70">
        <v>16661.602244857499</v>
      </c>
    </row>
    <row r="71" spans="1:3" x14ac:dyDescent="0.25">
      <c r="A71">
        <v>4500</v>
      </c>
      <c r="B71">
        <v>73.830596249999985</v>
      </c>
      <c r="C71">
        <v>19538.030640546247</v>
      </c>
    </row>
    <row r="72" spans="1:3" x14ac:dyDescent="0.25">
      <c r="A72">
        <v>4500</v>
      </c>
      <c r="B72">
        <v>85.992374999999996</v>
      </c>
      <c r="C72">
        <v>22930.855706062495</v>
      </c>
    </row>
    <row r="73" spans="1:3" x14ac:dyDescent="0.25">
      <c r="A73">
        <v>4500</v>
      </c>
      <c r="B73">
        <v>98.399846249999982</v>
      </c>
      <c r="C73">
        <v>27583.986099954371</v>
      </c>
    </row>
    <row r="74" spans="1:3" x14ac:dyDescent="0.25">
      <c r="A74">
        <v>4500</v>
      </c>
      <c r="B74">
        <v>110.623048125</v>
      </c>
      <c r="C74">
        <v>34293.366164846244</v>
      </c>
    </row>
    <row r="75" spans="1:3" x14ac:dyDescent="0.25">
      <c r="A75">
        <v>5000</v>
      </c>
      <c r="B75">
        <v>6.8930395836749989</v>
      </c>
      <c r="C75">
        <v>5039.552937171874</v>
      </c>
    </row>
    <row r="76" spans="1:3" x14ac:dyDescent="0.25">
      <c r="A76">
        <v>5000</v>
      </c>
      <c r="B76">
        <v>13.854327086749999</v>
      </c>
      <c r="C76">
        <v>6509.9058457343745</v>
      </c>
    </row>
    <row r="77" spans="1:3" x14ac:dyDescent="0.25">
      <c r="A77">
        <v>5000</v>
      </c>
      <c r="B77">
        <v>27.435662499999999</v>
      </c>
      <c r="C77">
        <v>9417.2225639687476</v>
      </c>
    </row>
    <row r="78" spans="1:3" x14ac:dyDescent="0.25">
      <c r="A78">
        <v>5000</v>
      </c>
      <c r="B78">
        <v>41.016997913250002</v>
      </c>
      <c r="C78">
        <v>12473.986869431248</v>
      </c>
    </row>
    <row r="79" spans="1:3" x14ac:dyDescent="0.25">
      <c r="A79">
        <v>5000</v>
      </c>
      <c r="B79">
        <v>54.734829163249998</v>
      </c>
      <c r="C79">
        <v>15886.784165624997</v>
      </c>
    </row>
    <row r="80" spans="1:3" x14ac:dyDescent="0.25">
      <c r="A80">
        <v>5000</v>
      </c>
      <c r="B80">
        <v>81.829252086750003</v>
      </c>
      <c r="C80">
        <v>22554.596748056247</v>
      </c>
    </row>
    <row r="81" spans="1:3" x14ac:dyDescent="0.25">
      <c r="A81">
        <v>5000</v>
      </c>
      <c r="B81">
        <v>95.751827086749998</v>
      </c>
      <c r="C81">
        <v>26958.208782118745</v>
      </c>
    </row>
    <row r="82" spans="1:3" x14ac:dyDescent="0.25">
      <c r="A82">
        <v>5000</v>
      </c>
      <c r="B82">
        <v>109.19666663249998</v>
      </c>
      <c r="C82">
        <v>32715.594324999995</v>
      </c>
    </row>
    <row r="83" spans="1:3" x14ac:dyDescent="0.25">
      <c r="A83">
        <v>5000</v>
      </c>
      <c r="B83">
        <v>128.71557086749999</v>
      </c>
      <c r="C83">
        <v>44181.297903287494</v>
      </c>
    </row>
    <row r="84" spans="1:3" x14ac:dyDescent="0.25">
      <c r="A84">
        <v>5500</v>
      </c>
      <c r="B84">
        <v>7.6574162499999989</v>
      </c>
      <c r="C84">
        <v>6127.3419645899994</v>
      </c>
    </row>
    <row r="85" spans="1:3" x14ac:dyDescent="0.25">
      <c r="A85">
        <v>5500</v>
      </c>
      <c r="B85">
        <v>14.93946896175</v>
      </c>
      <c r="C85">
        <v>7696.2429724607491</v>
      </c>
    </row>
    <row r="86" spans="1:3" x14ac:dyDescent="0.25">
      <c r="A86">
        <v>5500</v>
      </c>
      <c r="B86">
        <v>29.954010624999995</v>
      </c>
      <c r="C86">
        <v>10959.723177528123</v>
      </c>
    </row>
    <row r="87" spans="1:3" x14ac:dyDescent="0.25">
      <c r="A87">
        <v>5500</v>
      </c>
      <c r="B87">
        <v>45.043624999999999</v>
      </c>
      <c r="C87">
        <v>14408.498460468747</v>
      </c>
    </row>
    <row r="88" spans="1:3" x14ac:dyDescent="0.25">
      <c r="A88">
        <v>5500</v>
      </c>
      <c r="B88">
        <v>75.147781038249988</v>
      </c>
      <c r="C88">
        <v>22134.64739998</v>
      </c>
    </row>
    <row r="89" spans="1:3" x14ac:dyDescent="0.25">
      <c r="A89">
        <v>5500</v>
      </c>
      <c r="B89">
        <v>90.237395413249985</v>
      </c>
      <c r="C89">
        <v>26559.730510278747</v>
      </c>
    </row>
    <row r="90" spans="1:3" x14ac:dyDescent="0.25">
      <c r="A90">
        <v>5500</v>
      </c>
      <c r="B90">
        <v>105.1017916325</v>
      </c>
      <c r="C90">
        <v>33176.116252124993</v>
      </c>
    </row>
    <row r="91" spans="1:3" x14ac:dyDescent="0.25">
      <c r="A91">
        <v>5500</v>
      </c>
      <c r="B91">
        <v>120.11633336749999</v>
      </c>
      <c r="C91">
        <v>38500.678119749995</v>
      </c>
    </row>
    <row r="92" spans="1:3" x14ac:dyDescent="0.25">
      <c r="A92">
        <v>5500</v>
      </c>
      <c r="B92">
        <v>128.07404038249999</v>
      </c>
      <c r="C92">
        <v>42798.213924994372</v>
      </c>
    </row>
    <row r="93" spans="1:3" x14ac:dyDescent="0.25">
      <c r="A93">
        <v>6000</v>
      </c>
      <c r="B93">
        <v>9.0087249999999983</v>
      </c>
      <c r="C93">
        <v>7024.8776328499998</v>
      </c>
    </row>
    <row r="94" spans="1:3" x14ac:dyDescent="0.25">
      <c r="A94">
        <v>6000</v>
      </c>
      <c r="B94">
        <v>16.215705</v>
      </c>
      <c r="C94">
        <v>8505.2669981399995</v>
      </c>
    </row>
    <row r="95" spans="1:3" x14ac:dyDescent="0.25">
      <c r="A95">
        <v>6000</v>
      </c>
      <c r="B95">
        <v>33.168487499999991</v>
      </c>
      <c r="C95">
        <v>12346.471944562498</v>
      </c>
    </row>
    <row r="96" spans="1:3" x14ac:dyDescent="0.25">
      <c r="A96">
        <v>6000</v>
      </c>
      <c r="B96">
        <v>65.354204999999993</v>
      </c>
      <c r="C96">
        <v>20380.643475044999</v>
      </c>
    </row>
    <row r="97" spans="1:3" x14ac:dyDescent="0.25">
      <c r="A97">
        <v>6000</v>
      </c>
      <c r="B97">
        <v>81.815602499999983</v>
      </c>
      <c r="C97">
        <v>24702.584862824999</v>
      </c>
    </row>
    <row r="98" spans="1:3" x14ac:dyDescent="0.25">
      <c r="A98">
        <v>6000</v>
      </c>
      <c r="B98">
        <v>98.113204999999994</v>
      </c>
      <c r="C98">
        <v>29944.150165999999</v>
      </c>
    </row>
    <row r="99" spans="1:3" x14ac:dyDescent="0.25">
      <c r="A99">
        <v>6000</v>
      </c>
      <c r="B99">
        <v>114.5746025</v>
      </c>
      <c r="C99">
        <v>36579.202168752498</v>
      </c>
    </row>
    <row r="100" spans="1:3" x14ac:dyDescent="0.25">
      <c r="A100">
        <v>6000</v>
      </c>
      <c r="B100">
        <v>129.39804999999998</v>
      </c>
      <c r="C100">
        <v>49717.965761250001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C120"/>
  <sheetViews>
    <sheetView workbookViewId="0">
      <selection activeCell="E5" sqref="E5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1.0305992024999999</v>
      </c>
      <c r="C4">
        <v>585.38956895388355</v>
      </c>
    </row>
    <row r="5" spans="1:3" x14ac:dyDescent="0.25">
      <c r="A5">
        <v>1000</v>
      </c>
      <c r="B5">
        <v>1.4376425850000001</v>
      </c>
      <c r="C5">
        <v>733.52899725728162</v>
      </c>
    </row>
    <row r="6" spans="1:3" x14ac:dyDescent="0.25">
      <c r="A6">
        <v>1000</v>
      </c>
      <c r="B6">
        <v>1.8100439775000001</v>
      </c>
      <c r="C6">
        <v>789.33302410194187</v>
      </c>
    </row>
    <row r="7" spans="1:3" x14ac:dyDescent="0.25">
      <c r="A7">
        <v>1000</v>
      </c>
      <c r="B7">
        <v>2.2690503450000006</v>
      </c>
      <c r="C7">
        <v>898.77398653398063</v>
      </c>
    </row>
    <row r="8" spans="1:3" x14ac:dyDescent="0.25">
      <c r="A8">
        <v>1000</v>
      </c>
      <c r="B8">
        <v>2.6674332299999999</v>
      </c>
      <c r="C8">
        <v>963.98459737864084</v>
      </c>
    </row>
    <row r="9" spans="1:3" x14ac:dyDescent="0.25">
      <c r="A9">
        <v>1000</v>
      </c>
      <c r="B9">
        <v>3.0311741250000002</v>
      </c>
      <c r="C9">
        <v>1055.4818919902914</v>
      </c>
    </row>
    <row r="10" spans="1:3" x14ac:dyDescent="0.25">
      <c r="A10">
        <v>1000</v>
      </c>
      <c r="B10">
        <v>3.4901804925</v>
      </c>
      <c r="C10">
        <v>1157.0383713932042</v>
      </c>
    </row>
    <row r="11" spans="1:3" x14ac:dyDescent="0.25">
      <c r="A11">
        <v>1000</v>
      </c>
      <c r="B11">
        <v>3.9318658650000002</v>
      </c>
      <c r="C11">
        <v>1248.1798749029128</v>
      </c>
    </row>
    <row r="12" spans="1:3" x14ac:dyDescent="0.25">
      <c r="A12">
        <v>1000</v>
      </c>
      <c r="B12">
        <v>4.4688167100000005</v>
      </c>
      <c r="C12">
        <v>1342.0592575339806</v>
      </c>
    </row>
    <row r="13" spans="1:3" x14ac:dyDescent="0.25">
      <c r="A13">
        <v>1000</v>
      </c>
      <c r="B13">
        <v>5.3002244700000007</v>
      </c>
      <c r="C13">
        <v>1541.0929857378644</v>
      </c>
    </row>
    <row r="14" spans="1:3" x14ac:dyDescent="0.25">
      <c r="A14">
        <v>1000</v>
      </c>
      <c r="B14">
        <v>6.0363667575000006</v>
      </c>
      <c r="C14">
        <v>1708.0560464854373</v>
      </c>
    </row>
    <row r="15" spans="1:3" x14ac:dyDescent="0.25">
      <c r="A15">
        <v>1000</v>
      </c>
      <c r="B15">
        <v>6.3741261600000003</v>
      </c>
      <c r="C15">
        <v>1861.0424150679612</v>
      </c>
    </row>
    <row r="16" spans="1:3" x14ac:dyDescent="0.25">
      <c r="A16">
        <v>1000</v>
      </c>
      <c r="B16">
        <v>6.5906385975000008</v>
      </c>
      <c r="C16">
        <v>1848.9664464902914</v>
      </c>
    </row>
    <row r="17" spans="1:3" x14ac:dyDescent="0.25">
      <c r="A17">
        <v>1250</v>
      </c>
      <c r="B17">
        <v>0.61858782421875003</v>
      </c>
      <c r="C17">
        <v>631.71946856796126</v>
      </c>
    </row>
    <row r="18" spans="1:3" x14ac:dyDescent="0.25">
      <c r="A18">
        <v>1250</v>
      </c>
      <c r="B18">
        <v>1.1937659765624999</v>
      </c>
      <c r="C18">
        <v>663.57656628893221</v>
      </c>
    </row>
    <row r="19" spans="1:3" x14ac:dyDescent="0.25">
      <c r="A19">
        <v>1250</v>
      </c>
      <c r="B19">
        <v>1.7472392929687499</v>
      </c>
      <c r="C19">
        <v>787.44110013223303</v>
      </c>
    </row>
    <row r="20" spans="1:3" x14ac:dyDescent="0.25">
      <c r="A20">
        <v>1250</v>
      </c>
      <c r="B20">
        <v>2.3115650273437498</v>
      </c>
      <c r="C20">
        <v>900.94226690407766</v>
      </c>
    </row>
    <row r="21" spans="1:3" x14ac:dyDescent="0.25">
      <c r="A21">
        <v>1250</v>
      </c>
      <c r="B21">
        <v>2.8650383437500002</v>
      </c>
      <c r="C21">
        <v>1045.7119063834953</v>
      </c>
    </row>
    <row r="22" spans="1:3" x14ac:dyDescent="0.25">
      <c r="A22">
        <v>1250</v>
      </c>
      <c r="B22">
        <v>3.3642495703124999</v>
      </c>
      <c r="C22">
        <v>1148.6630108009711</v>
      </c>
    </row>
    <row r="23" spans="1:3" x14ac:dyDescent="0.25">
      <c r="A23">
        <v>1250</v>
      </c>
      <c r="B23">
        <v>3.8634607968750001</v>
      </c>
      <c r="C23">
        <v>1230.2095703155339</v>
      </c>
    </row>
    <row r="24" spans="1:3" x14ac:dyDescent="0.25">
      <c r="A24">
        <v>1250</v>
      </c>
      <c r="B24">
        <v>4.5254582929687492</v>
      </c>
      <c r="C24">
        <v>1354.226314484466</v>
      </c>
    </row>
    <row r="25" spans="1:3" x14ac:dyDescent="0.25">
      <c r="A25">
        <v>1250</v>
      </c>
      <c r="B25">
        <v>5.06807919140625</v>
      </c>
      <c r="C25">
        <v>1474.3985641320389</v>
      </c>
    </row>
    <row r="26" spans="1:3" x14ac:dyDescent="0.25">
      <c r="A26">
        <v>1250</v>
      </c>
      <c r="B26">
        <v>5.5781428359375003</v>
      </c>
      <c r="C26">
        <v>1566.5534543572819</v>
      </c>
    </row>
    <row r="27" spans="1:3" x14ac:dyDescent="0.25">
      <c r="A27">
        <v>1250</v>
      </c>
      <c r="B27">
        <v>6.7176467226562497</v>
      </c>
      <c r="C27">
        <v>1810.017072215534</v>
      </c>
    </row>
    <row r="28" spans="1:3" x14ac:dyDescent="0.25">
      <c r="A28">
        <v>1250</v>
      </c>
      <c r="B28">
        <v>7.78118368359375</v>
      </c>
      <c r="C28">
        <v>2050.5375650067967</v>
      </c>
    </row>
    <row r="29" spans="1:3" x14ac:dyDescent="0.25">
      <c r="A29">
        <v>1250</v>
      </c>
      <c r="B29">
        <v>8.82301580859375</v>
      </c>
      <c r="C29">
        <v>2304.7843163592233</v>
      </c>
    </row>
    <row r="30" spans="1:3" x14ac:dyDescent="0.25">
      <c r="A30">
        <v>1250</v>
      </c>
      <c r="B30">
        <v>9.9516672773437502</v>
      </c>
      <c r="C30">
        <v>2603.9770455834955</v>
      </c>
    </row>
    <row r="31" spans="1:3" x14ac:dyDescent="0.25">
      <c r="A31">
        <v>1250</v>
      </c>
      <c r="B31">
        <v>10.950089730468749</v>
      </c>
      <c r="C31">
        <v>2999.6091404378644</v>
      </c>
    </row>
    <row r="32" spans="1:3" x14ac:dyDescent="0.25">
      <c r="A32">
        <v>1250</v>
      </c>
      <c r="B32">
        <v>11.6554968984375</v>
      </c>
      <c r="C32">
        <v>3280.967125764078</v>
      </c>
    </row>
    <row r="33" spans="1:3" x14ac:dyDescent="0.25">
      <c r="A33">
        <v>1250</v>
      </c>
      <c r="B33">
        <v>12.100446035156249</v>
      </c>
      <c r="C33">
        <v>3476.4905086038834</v>
      </c>
    </row>
    <row r="34" spans="1:3" x14ac:dyDescent="0.25">
      <c r="A34">
        <v>1500</v>
      </c>
      <c r="B34">
        <v>0.70497307124999997</v>
      </c>
      <c r="C34">
        <v>676.32368620631087</v>
      </c>
    </row>
    <row r="35" spans="1:3" x14ac:dyDescent="0.25">
      <c r="A35">
        <v>1500</v>
      </c>
      <c r="B35">
        <v>1.3968910856249999</v>
      </c>
      <c r="C35">
        <v>790.30146084466037</v>
      </c>
    </row>
    <row r="36" spans="1:3" x14ac:dyDescent="0.25">
      <c r="A36">
        <v>1500</v>
      </c>
      <c r="B36">
        <v>1.9582585312499998</v>
      </c>
      <c r="C36">
        <v>900.48920406553418</v>
      </c>
    </row>
    <row r="37" spans="1:3" x14ac:dyDescent="0.25">
      <c r="A37">
        <v>1500</v>
      </c>
      <c r="B37">
        <v>2.6110113749999999</v>
      </c>
      <c r="C37">
        <v>1027.4181553398059</v>
      </c>
    </row>
    <row r="38" spans="1:3" x14ac:dyDescent="0.25">
      <c r="A38">
        <v>1500</v>
      </c>
      <c r="B38">
        <v>3.9817923468749998</v>
      </c>
      <c r="C38">
        <v>1316.9931090543691</v>
      </c>
    </row>
    <row r="39" spans="1:3" x14ac:dyDescent="0.25">
      <c r="A39">
        <v>1500</v>
      </c>
      <c r="B39">
        <v>4.4909395649999997</v>
      </c>
      <c r="C39">
        <v>1410.2912388058253</v>
      </c>
    </row>
    <row r="40" spans="1:3" x14ac:dyDescent="0.25">
      <c r="A40">
        <v>1500</v>
      </c>
      <c r="B40">
        <v>5.2220227499999998</v>
      </c>
      <c r="C40">
        <v>1555.3969296116506</v>
      </c>
    </row>
    <row r="41" spans="1:3" x14ac:dyDescent="0.25">
      <c r="A41">
        <v>1500</v>
      </c>
      <c r="B41">
        <v>6.0053261624999994</v>
      </c>
      <c r="C41">
        <v>1683.6815020631066</v>
      </c>
    </row>
    <row r="42" spans="1:3" x14ac:dyDescent="0.25">
      <c r="A42">
        <v>1500</v>
      </c>
      <c r="B42">
        <v>6.6972441768749995</v>
      </c>
      <c r="C42">
        <v>1856.4418648834951</v>
      </c>
    </row>
    <row r="43" spans="1:3" x14ac:dyDescent="0.25">
      <c r="A43">
        <v>1500</v>
      </c>
      <c r="B43">
        <v>7.7677588406249987</v>
      </c>
      <c r="C43">
        <v>2106.4854772446606</v>
      </c>
    </row>
    <row r="44" spans="1:3" x14ac:dyDescent="0.25">
      <c r="A44">
        <v>1500</v>
      </c>
      <c r="B44">
        <v>9.3213106087499984</v>
      </c>
      <c r="C44">
        <v>2408.5763815631076</v>
      </c>
    </row>
    <row r="45" spans="1:3" x14ac:dyDescent="0.25">
      <c r="A45">
        <v>1500</v>
      </c>
      <c r="B45">
        <v>10.352660101874998</v>
      </c>
      <c r="C45">
        <v>2685.2558101728159</v>
      </c>
    </row>
    <row r="46" spans="1:3" x14ac:dyDescent="0.25">
      <c r="A46">
        <v>1500</v>
      </c>
      <c r="B46">
        <v>11.762606244375</v>
      </c>
      <c r="C46">
        <v>3049.6796026165048</v>
      </c>
    </row>
    <row r="47" spans="1:3" x14ac:dyDescent="0.25">
      <c r="A47">
        <v>1500</v>
      </c>
      <c r="B47">
        <v>13.107277102499999</v>
      </c>
      <c r="C47">
        <v>3467.0796439805827</v>
      </c>
    </row>
    <row r="48" spans="1:3" x14ac:dyDescent="0.25">
      <c r="A48">
        <v>1500</v>
      </c>
      <c r="B48">
        <v>14.43889290375</v>
      </c>
      <c r="C48">
        <v>3991.3397358893208</v>
      </c>
    </row>
    <row r="49" spans="1:3" x14ac:dyDescent="0.25">
      <c r="A49">
        <v>2000</v>
      </c>
      <c r="B49">
        <v>0.82214703</v>
      </c>
      <c r="C49">
        <v>843.62065785436903</v>
      </c>
    </row>
    <row r="50" spans="1:3" x14ac:dyDescent="0.25">
      <c r="A50">
        <v>2000</v>
      </c>
      <c r="B50">
        <v>0.87462450000000003</v>
      </c>
      <c r="C50">
        <v>832.1135745145632</v>
      </c>
    </row>
    <row r="51" spans="1:3" x14ac:dyDescent="0.25">
      <c r="A51">
        <v>2000</v>
      </c>
      <c r="B51">
        <v>1.8192189600000002</v>
      </c>
      <c r="C51">
        <v>976.89962411650504</v>
      </c>
    </row>
    <row r="52" spans="1:3" x14ac:dyDescent="0.25">
      <c r="A52">
        <v>2000</v>
      </c>
      <c r="B52">
        <v>2.6763509700000001</v>
      </c>
      <c r="C52">
        <v>1171.1025843640775</v>
      </c>
    </row>
    <row r="53" spans="1:3" x14ac:dyDescent="0.25">
      <c r="A53">
        <v>2000</v>
      </c>
      <c r="B53">
        <v>3.4810055100000001</v>
      </c>
      <c r="C53">
        <v>1352.0613635388349</v>
      </c>
    </row>
    <row r="54" spans="1:3" x14ac:dyDescent="0.25">
      <c r="A54">
        <v>2000</v>
      </c>
      <c r="B54">
        <v>5.2652394900000008</v>
      </c>
      <c r="C54">
        <v>1723.225685286408</v>
      </c>
    </row>
    <row r="55" spans="1:3" x14ac:dyDescent="0.25">
      <c r="A55">
        <v>2000</v>
      </c>
      <c r="B55">
        <v>6.2623114200000005</v>
      </c>
      <c r="C55">
        <v>1909.9170772427187</v>
      </c>
    </row>
    <row r="56" spans="1:3" x14ac:dyDescent="0.25">
      <c r="A56">
        <v>2000</v>
      </c>
      <c r="B56">
        <v>7.0844584500000005</v>
      </c>
      <c r="C56">
        <v>2073.5866920145631</v>
      </c>
    </row>
    <row r="57" spans="1:3" x14ac:dyDescent="0.25">
      <c r="A57">
        <v>2000</v>
      </c>
      <c r="B57">
        <v>7.8541280100000002</v>
      </c>
      <c r="C57">
        <v>2245.0456585048546</v>
      </c>
    </row>
    <row r="58" spans="1:3" x14ac:dyDescent="0.25">
      <c r="A58">
        <v>2000</v>
      </c>
      <c r="B58">
        <v>8.7637374900000005</v>
      </c>
      <c r="C58">
        <v>2434.5129821067962</v>
      </c>
    </row>
    <row r="59" spans="1:3" x14ac:dyDescent="0.25">
      <c r="A59">
        <v>2000</v>
      </c>
      <c r="B59">
        <v>10.443016530000001</v>
      </c>
      <c r="C59">
        <v>2698.8220104466027</v>
      </c>
    </row>
    <row r="60" spans="1:3" x14ac:dyDescent="0.25">
      <c r="A60">
        <v>2000</v>
      </c>
      <c r="B60">
        <v>12.279727980000001</v>
      </c>
      <c r="C60">
        <v>3137.4268209611655</v>
      </c>
    </row>
    <row r="61" spans="1:3" x14ac:dyDescent="0.25">
      <c r="A61">
        <v>2000</v>
      </c>
      <c r="B61">
        <v>14.116439430000002</v>
      </c>
      <c r="C61">
        <v>3522.2519989223306</v>
      </c>
    </row>
    <row r="62" spans="1:3" x14ac:dyDescent="0.25">
      <c r="A62">
        <v>2000</v>
      </c>
      <c r="B62">
        <v>15.883180920000001</v>
      </c>
      <c r="C62">
        <v>3968.2618306601948</v>
      </c>
    </row>
    <row r="63" spans="1:3" x14ac:dyDescent="0.25">
      <c r="A63">
        <v>2000</v>
      </c>
      <c r="B63">
        <v>17.440012530000001</v>
      </c>
      <c r="C63">
        <v>4361.0152520533984</v>
      </c>
    </row>
    <row r="64" spans="1:3" x14ac:dyDescent="0.25">
      <c r="A64">
        <v>2000</v>
      </c>
      <c r="B64">
        <v>19.18926153</v>
      </c>
      <c r="C64">
        <v>4863.1316282038842</v>
      </c>
    </row>
    <row r="65" spans="1:3" x14ac:dyDescent="0.25">
      <c r="A65">
        <v>2000</v>
      </c>
      <c r="B65">
        <v>19.714036229999998</v>
      </c>
      <c r="C65">
        <v>5081.8955902427188</v>
      </c>
    </row>
    <row r="66" spans="1:3" x14ac:dyDescent="0.25">
      <c r="A66">
        <v>2500</v>
      </c>
      <c r="B66">
        <v>1.208503828125</v>
      </c>
      <c r="C66">
        <v>1093.0111940533982</v>
      </c>
    </row>
    <row r="67" spans="1:3" x14ac:dyDescent="0.25">
      <c r="A67">
        <v>2500</v>
      </c>
      <c r="B67">
        <v>2.2631980781249998</v>
      </c>
      <c r="C67">
        <v>1267.9291350000003</v>
      </c>
    </row>
    <row r="68" spans="1:3" x14ac:dyDescent="0.25">
      <c r="A68">
        <v>2500</v>
      </c>
      <c r="B68">
        <v>3.3398651249999998</v>
      </c>
      <c r="C68">
        <v>1492.9907898058252</v>
      </c>
    </row>
    <row r="69" spans="1:3" x14ac:dyDescent="0.25">
      <c r="A69">
        <v>2500</v>
      </c>
      <c r="B69">
        <v>4.4604777656249999</v>
      </c>
      <c r="C69">
        <v>1717.7718078165051</v>
      </c>
    </row>
    <row r="70" spans="1:3" x14ac:dyDescent="0.25">
      <c r="A70">
        <v>2500</v>
      </c>
      <c r="B70">
        <v>5.4712264218749995</v>
      </c>
      <c r="C70">
        <v>1892.0547469786411</v>
      </c>
    </row>
    <row r="71" spans="1:3" x14ac:dyDescent="0.25">
      <c r="A71">
        <v>2500</v>
      </c>
      <c r="B71">
        <v>6.5259206718749994</v>
      </c>
      <c r="C71">
        <v>2090.7959461165051</v>
      </c>
    </row>
    <row r="72" spans="1:3" x14ac:dyDescent="0.25">
      <c r="A72">
        <v>2500</v>
      </c>
      <c r="B72">
        <v>7.7563972968749999</v>
      </c>
      <c r="C72">
        <v>2328.8668082291265</v>
      </c>
    </row>
    <row r="73" spans="1:3" x14ac:dyDescent="0.25">
      <c r="A73">
        <v>2500</v>
      </c>
      <c r="B73">
        <v>8.8770099375000004</v>
      </c>
      <c r="C73">
        <v>2377.820446601942</v>
      </c>
    </row>
    <row r="74" spans="1:3" x14ac:dyDescent="0.25">
      <c r="A74">
        <v>2500</v>
      </c>
      <c r="B74">
        <v>9.7998674062499997</v>
      </c>
      <c r="C74">
        <v>2522.9134774757285</v>
      </c>
    </row>
    <row r="75" spans="1:3" x14ac:dyDescent="0.25">
      <c r="A75">
        <v>2500</v>
      </c>
      <c r="B75">
        <v>10.942452843749999</v>
      </c>
      <c r="C75">
        <v>2749.5438203883496</v>
      </c>
    </row>
    <row r="76" spans="1:3" x14ac:dyDescent="0.25">
      <c r="A76">
        <v>2500</v>
      </c>
      <c r="B76">
        <v>13.117759734374999</v>
      </c>
      <c r="C76">
        <v>3139.5599677669907</v>
      </c>
    </row>
    <row r="77" spans="1:3" x14ac:dyDescent="0.25">
      <c r="A77">
        <v>2500</v>
      </c>
      <c r="B77">
        <v>15.337012218749999</v>
      </c>
      <c r="C77">
        <v>3546.5930606796119</v>
      </c>
    </row>
    <row r="78" spans="1:3" x14ac:dyDescent="0.25">
      <c r="A78">
        <v>2500</v>
      </c>
      <c r="B78">
        <v>19.929326765624996</v>
      </c>
      <c r="C78">
        <v>4437.1799401941753</v>
      </c>
    </row>
    <row r="79" spans="1:3" x14ac:dyDescent="0.25">
      <c r="A79">
        <v>2500</v>
      </c>
      <c r="B79">
        <v>21.972796875</v>
      </c>
      <c r="C79">
        <v>4858.8094660194183</v>
      </c>
    </row>
    <row r="80" spans="1:3" x14ac:dyDescent="0.25">
      <c r="A80">
        <v>2500</v>
      </c>
      <c r="B80">
        <v>24.719396484374997</v>
      </c>
      <c r="C80">
        <v>5658.7015324271852</v>
      </c>
    </row>
    <row r="81" spans="1:3" x14ac:dyDescent="0.25">
      <c r="A81">
        <v>3000</v>
      </c>
      <c r="B81">
        <v>1.4572787625000001</v>
      </c>
      <c r="C81">
        <v>1253.3861359223299</v>
      </c>
    </row>
    <row r="82" spans="1:3" x14ac:dyDescent="0.25">
      <c r="A82">
        <v>3000</v>
      </c>
      <c r="B82">
        <v>2.7025897050000003</v>
      </c>
      <c r="C82">
        <v>1439.7297029126212</v>
      </c>
    </row>
    <row r="83" spans="1:3" x14ac:dyDescent="0.25">
      <c r="A83">
        <v>3000</v>
      </c>
      <c r="B83">
        <v>5.2726995225</v>
      </c>
      <c r="C83">
        <v>1910.2749493203885</v>
      </c>
    </row>
    <row r="84" spans="1:3" x14ac:dyDescent="0.25">
      <c r="A84">
        <v>3000</v>
      </c>
      <c r="B84">
        <v>6.8094662174999998</v>
      </c>
      <c r="C84">
        <v>2178.451891747573</v>
      </c>
    </row>
    <row r="85" spans="1:3" x14ac:dyDescent="0.25">
      <c r="A85">
        <v>3000</v>
      </c>
      <c r="B85">
        <v>8.3727288900000012</v>
      </c>
      <c r="C85">
        <v>2422.3383436893205</v>
      </c>
    </row>
    <row r="86" spans="1:3" x14ac:dyDescent="0.25">
      <c r="A86">
        <v>3000</v>
      </c>
      <c r="B86">
        <v>9.11461626</v>
      </c>
      <c r="C86">
        <v>2653.4914252427188</v>
      </c>
    </row>
    <row r="87" spans="1:3" x14ac:dyDescent="0.25">
      <c r="A87">
        <v>3000</v>
      </c>
      <c r="B87">
        <v>10.518903067500002</v>
      </c>
      <c r="C87">
        <v>2870.6548701941751</v>
      </c>
    </row>
    <row r="88" spans="1:3" x14ac:dyDescent="0.25">
      <c r="A88">
        <v>3000</v>
      </c>
      <c r="B88">
        <v>11.790709987500001</v>
      </c>
      <c r="C88">
        <v>3152.4560388349514</v>
      </c>
    </row>
    <row r="89" spans="1:3" x14ac:dyDescent="0.25">
      <c r="A89">
        <v>3000</v>
      </c>
      <c r="B89">
        <v>13.5394445025</v>
      </c>
      <c r="C89">
        <v>3406.0272143689326</v>
      </c>
    </row>
    <row r="90" spans="1:3" x14ac:dyDescent="0.25">
      <c r="A90">
        <v>3000</v>
      </c>
      <c r="B90">
        <v>18.573680227500002</v>
      </c>
      <c r="C90">
        <v>4362.0808833009714</v>
      </c>
    </row>
    <row r="91" spans="1:3" x14ac:dyDescent="0.25">
      <c r="A91">
        <v>3000</v>
      </c>
      <c r="B91">
        <v>21.302765909999998</v>
      </c>
      <c r="C91">
        <v>4885.0692640776697</v>
      </c>
    </row>
    <row r="92" spans="1:3" x14ac:dyDescent="0.25">
      <c r="A92">
        <v>3000</v>
      </c>
      <c r="B92">
        <v>26.5224734775</v>
      </c>
      <c r="C92">
        <v>5868.4407334951457</v>
      </c>
    </row>
    <row r="93" spans="1:3" x14ac:dyDescent="0.25">
      <c r="A93">
        <v>3000</v>
      </c>
      <c r="B93">
        <v>29.039591339999998</v>
      </c>
      <c r="C93">
        <v>6501.3911300970876</v>
      </c>
    </row>
    <row r="94" spans="1:3" x14ac:dyDescent="0.25">
      <c r="A94">
        <v>3000</v>
      </c>
      <c r="B94">
        <v>32.192612662500004</v>
      </c>
      <c r="C94">
        <v>7252.6599830097093</v>
      </c>
    </row>
    <row r="95" spans="1:3" x14ac:dyDescent="0.25">
      <c r="A95">
        <v>3500</v>
      </c>
      <c r="B95">
        <v>3.3857614743750002</v>
      </c>
      <c r="C95">
        <v>1818.0215825242719</v>
      </c>
    </row>
    <row r="96" spans="1:3" x14ac:dyDescent="0.25">
      <c r="A96">
        <v>3500</v>
      </c>
      <c r="B96">
        <v>4.9699251000000002</v>
      </c>
      <c r="C96">
        <v>2087.6254951456308</v>
      </c>
    </row>
    <row r="97" spans="1:3" x14ac:dyDescent="0.25">
      <c r="A97">
        <v>3500</v>
      </c>
      <c r="B97">
        <v>6.7093988849999997</v>
      </c>
      <c r="C97">
        <v>2404.9266466019417</v>
      </c>
    </row>
    <row r="98" spans="1:3" x14ac:dyDescent="0.25">
      <c r="A98">
        <v>3500</v>
      </c>
      <c r="B98">
        <v>8.2314384468749999</v>
      </c>
      <c r="C98">
        <v>2698.1551310679615</v>
      </c>
    </row>
    <row r="99" spans="1:3" x14ac:dyDescent="0.25">
      <c r="A99">
        <v>3500</v>
      </c>
      <c r="B99">
        <v>9.6913539449999977</v>
      </c>
      <c r="C99">
        <v>2935.9193941747571</v>
      </c>
    </row>
    <row r="100" spans="1:3" x14ac:dyDescent="0.25">
      <c r="A100">
        <v>3500</v>
      </c>
      <c r="B100">
        <v>11.182331475</v>
      </c>
      <c r="C100">
        <v>3194.9183883495148</v>
      </c>
    </row>
    <row r="101" spans="1:3" x14ac:dyDescent="0.25">
      <c r="A101">
        <v>3500</v>
      </c>
      <c r="B101">
        <v>14.41278279</v>
      </c>
      <c r="C101">
        <v>3793.0258310679615</v>
      </c>
    </row>
    <row r="102" spans="1:3" x14ac:dyDescent="0.25">
      <c r="A102">
        <v>3500</v>
      </c>
      <c r="B102">
        <v>15.996946415624997</v>
      </c>
      <c r="C102">
        <v>4091.3420622330104</v>
      </c>
    </row>
    <row r="103" spans="1:3" x14ac:dyDescent="0.25">
      <c r="A103">
        <v>3500</v>
      </c>
      <c r="B103">
        <v>19.227397730625</v>
      </c>
      <c r="C103">
        <v>4694.1171627184467</v>
      </c>
    </row>
    <row r="104" spans="1:3" x14ac:dyDescent="0.25">
      <c r="A104">
        <v>3500</v>
      </c>
      <c r="B104">
        <v>22.054042631249999</v>
      </c>
      <c r="C104">
        <v>5240.5971990291273</v>
      </c>
    </row>
    <row r="105" spans="1:3" x14ac:dyDescent="0.25">
      <c r="A105">
        <v>3500</v>
      </c>
      <c r="B105">
        <v>28.421759165624998</v>
      </c>
      <c r="C105">
        <v>6357.9566738834956</v>
      </c>
    </row>
    <row r="106" spans="1:3" x14ac:dyDescent="0.25">
      <c r="A106">
        <v>3500</v>
      </c>
      <c r="B106">
        <v>34.385669285624999</v>
      </c>
      <c r="C106">
        <v>7654.193242524273</v>
      </c>
    </row>
    <row r="107" spans="1:3" x14ac:dyDescent="0.25">
      <c r="A107">
        <v>3500</v>
      </c>
      <c r="B107">
        <v>40.194269246249995</v>
      </c>
      <c r="C107">
        <v>8991.4709692233009</v>
      </c>
    </row>
    <row r="108" spans="1:3" x14ac:dyDescent="0.25">
      <c r="A108">
        <v>3800</v>
      </c>
      <c r="B108">
        <v>3.8094527340000002</v>
      </c>
      <c r="C108">
        <v>2002.3238271844662</v>
      </c>
    </row>
    <row r="109" spans="1:3" x14ac:dyDescent="0.25">
      <c r="A109">
        <v>3800</v>
      </c>
      <c r="B109">
        <v>7.0136653140000007</v>
      </c>
      <c r="C109">
        <v>2703.5891737864081</v>
      </c>
    </row>
    <row r="110" spans="1:3" x14ac:dyDescent="0.25">
      <c r="A110">
        <v>3800</v>
      </c>
      <c r="B110">
        <v>10.894322772000001</v>
      </c>
      <c r="C110">
        <v>3466.0159514563111</v>
      </c>
    </row>
    <row r="111" spans="1:3" x14ac:dyDescent="0.25">
      <c r="A111">
        <v>3800</v>
      </c>
      <c r="B111">
        <v>14.41895661</v>
      </c>
      <c r="C111">
        <v>4123.5955776699029</v>
      </c>
    </row>
    <row r="112" spans="1:3" x14ac:dyDescent="0.25">
      <c r="A112">
        <v>3800</v>
      </c>
      <c r="B112">
        <v>17.907988086000003</v>
      </c>
      <c r="C112">
        <v>4801.2043456310685</v>
      </c>
    </row>
    <row r="113" spans="1:3" x14ac:dyDescent="0.25">
      <c r="A113">
        <v>3800</v>
      </c>
      <c r="B113">
        <v>21.895452630000005</v>
      </c>
      <c r="C113">
        <v>5515.9445533980588</v>
      </c>
    </row>
    <row r="114" spans="1:3" x14ac:dyDescent="0.25">
      <c r="A114">
        <v>3800</v>
      </c>
      <c r="B114">
        <v>25.277677020000002</v>
      </c>
      <c r="C114">
        <v>6112.9779902912624</v>
      </c>
    </row>
    <row r="115" spans="1:3" x14ac:dyDescent="0.25">
      <c r="A115">
        <v>3800</v>
      </c>
      <c r="B115">
        <v>28.695503772000002</v>
      </c>
      <c r="C115">
        <v>6713.076966990292</v>
      </c>
    </row>
    <row r="116" spans="1:3" x14ac:dyDescent="0.25">
      <c r="A116">
        <v>3800</v>
      </c>
      <c r="B116">
        <v>32.148932886000004</v>
      </c>
      <c r="C116">
        <v>7382.8903019417476</v>
      </c>
    </row>
    <row r="117" spans="1:3" x14ac:dyDescent="0.25">
      <c r="A117">
        <v>3800</v>
      </c>
      <c r="B117">
        <v>35.424350189999998</v>
      </c>
      <c r="C117">
        <v>8131.5399320388351</v>
      </c>
    </row>
    <row r="118" spans="1:3" x14ac:dyDescent="0.25">
      <c r="A118">
        <v>3800</v>
      </c>
      <c r="B118">
        <v>39.233802923999995</v>
      </c>
      <c r="C118">
        <v>9186.2634407766982</v>
      </c>
    </row>
    <row r="119" spans="1:3" x14ac:dyDescent="0.25">
      <c r="A119">
        <v>3800</v>
      </c>
      <c r="B119">
        <v>42.900846209999997</v>
      </c>
      <c r="C119">
        <v>10336.274737864078</v>
      </c>
    </row>
    <row r="120" spans="1:3" x14ac:dyDescent="0.25">
      <c r="A120">
        <v>3800</v>
      </c>
      <c r="B120">
        <v>46.959515478</v>
      </c>
      <c r="C120">
        <v>11572.138931067961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C195"/>
  <sheetViews>
    <sheetView workbookViewId="0">
      <selection activeCell="E5" sqref="E5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10.8460605825</v>
      </c>
      <c r="C4">
        <v>2911.6833478217923</v>
      </c>
    </row>
    <row r="5" spans="1:3" x14ac:dyDescent="0.25">
      <c r="A5">
        <v>1000</v>
      </c>
      <c r="B5">
        <v>10.197150975</v>
      </c>
      <c r="C5">
        <v>2691.7061394843427</v>
      </c>
    </row>
    <row r="6" spans="1:3" x14ac:dyDescent="0.25">
      <c r="A6">
        <v>1000</v>
      </c>
      <c r="B6">
        <v>9.1015892999999988</v>
      </c>
      <c r="C6">
        <v>2335.9014126247157</v>
      </c>
    </row>
    <row r="7" spans="1:3" x14ac:dyDescent="0.25">
      <c r="A7">
        <v>1000</v>
      </c>
      <c r="B7">
        <v>7.0537317074999999</v>
      </c>
      <c r="C7">
        <v>1771.0884451249628</v>
      </c>
    </row>
    <row r="8" spans="1:3" x14ac:dyDescent="0.25">
      <c r="A8">
        <v>1000</v>
      </c>
      <c r="B8">
        <v>6.1604275725000006</v>
      </c>
      <c r="C8">
        <v>1535.9719579176135</v>
      </c>
    </row>
    <row r="9" spans="1:3" x14ac:dyDescent="0.25">
      <c r="A9">
        <v>1000</v>
      </c>
      <c r="B9">
        <v>5.6042193375</v>
      </c>
      <c r="C9">
        <v>1413.1529190951298</v>
      </c>
    </row>
    <row r="10" spans="1:3" x14ac:dyDescent="0.25">
      <c r="A10">
        <v>1000</v>
      </c>
      <c r="B10">
        <v>4.3906740974999998</v>
      </c>
      <c r="C10">
        <v>1155.1346636372618</v>
      </c>
    </row>
    <row r="11" spans="1:3" x14ac:dyDescent="0.25">
      <c r="A11">
        <v>1000</v>
      </c>
      <c r="B11">
        <v>3.4720877699999999</v>
      </c>
      <c r="C11">
        <v>990.71694161809751</v>
      </c>
    </row>
    <row r="12" spans="1:3" x14ac:dyDescent="0.25">
      <c r="A12">
        <v>1000</v>
      </c>
      <c r="B12">
        <v>2.6714850075000003</v>
      </c>
      <c r="C12">
        <v>823.27777832658307</v>
      </c>
    </row>
    <row r="13" spans="1:3" x14ac:dyDescent="0.25">
      <c r="A13">
        <v>1000</v>
      </c>
      <c r="B13">
        <v>1.7866082699999999</v>
      </c>
      <c r="C13">
        <v>742.88638743455499</v>
      </c>
    </row>
    <row r="14" spans="1:3" x14ac:dyDescent="0.25">
      <c r="A14">
        <v>1000</v>
      </c>
      <c r="B14">
        <v>0.9354411225</v>
      </c>
      <c r="C14">
        <v>477.05383285587283</v>
      </c>
    </row>
    <row r="15" spans="1:3" x14ac:dyDescent="0.25">
      <c r="A15">
        <v>1500</v>
      </c>
      <c r="B15">
        <v>27.279485707500001</v>
      </c>
      <c r="C15">
        <v>8052.7289963449566</v>
      </c>
    </row>
    <row r="16" spans="1:3" x14ac:dyDescent="0.25">
      <c r="A16">
        <v>1500</v>
      </c>
      <c r="B16">
        <v>26.988740493749997</v>
      </c>
      <c r="C16">
        <v>7822.0500968092474</v>
      </c>
    </row>
    <row r="17" spans="1:3" x14ac:dyDescent="0.25">
      <c r="A17">
        <v>1500</v>
      </c>
      <c r="B17">
        <v>25.52237332875</v>
      </c>
      <c r="C17">
        <v>7275.0191405709775</v>
      </c>
    </row>
    <row r="18" spans="1:3" x14ac:dyDescent="0.25">
      <c r="A18">
        <v>1500</v>
      </c>
      <c r="B18">
        <v>24.346751377499999</v>
      </c>
      <c r="C18">
        <v>6923.283162106095</v>
      </c>
    </row>
    <row r="19" spans="1:3" x14ac:dyDescent="0.25">
      <c r="A19">
        <v>1500</v>
      </c>
      <c r="B19">
        <v>21.161195122499997</v>
      </c>
      <c r="C19">
        <v>5561.0662827225133</v>
      </c>
    </row>
    <row r="20" spans="1:3" x14ac:dyDescent="0.25">
      <c r="A20">
        <v>1500</v>
      </c>
      <c r="B20">
        <v>18.822592316249999</v>
      </c>
      <c r="C20">
        <v>4795.8747663736049</v>
      </c>
    </row>
    <row r="21" spans="1:3" x14ac:dyDescent="0.25">
      <c r="A21">
        <v>1500</v>
      </c>
      <c r="B21">
        <v>16.395501836249998</v>
      </c>
      <c r="C21">
        <v>4134.2691790971057</v>
      </c>
    </row>
    <row r="22" spans="1:3" x14ac:dyDescent="0.25">
      <c r="A22">
        <v>1500</v>
      </c>
      <c r="B22">
        <v>14.815364805</v>
      </c>
      <c r="C22">
        <v>3657.7531858144821</v>
      </c>
    </row>
    <row r="23" spans="1:3" x14ac:dyDescent="0.25">
      <c r="A23">
        <v>1500</v>
      </c>
      <c r="B23">
        <v>13.6271017575</v>
      </c>
      <c r="C23">
        <v>3309.8622671144922</v>
      </c>
    </row>
    <row r="24" spans="1:3" x14ac:dyDescent="0.25">
      <c r="A24">
        <v>1500</v>
      </c>
      <c r="B24">
        <v>11.93319486</v>
      </c>
      <c r="C24">
        <v>2842.5364220092861</v>
      </c>
    </row>
    <row r="25" spans="1:3" x14ac:dyDescent="0.25">
      <c r="A25">
        <v>1500</v>
      </c>
      <c r="B25">
        <v>10.63116194625</v>
      </c>
      <c r="C25">
        <v>2540.6862975402551</v>
      </c>
    </row>
    <row r="26" spans="1:3" x14ac:dyDescent="0.25">
      <c r="A26">
        <v>1500</v>
      </c>
      <c r="B26">
        <v>9.2659235512499993</v>
      </c>
      <c r="C26">
        <v>2227.074015608021</v>
      </c>
    </row>
    <row r="27" spans="1:3" x14ac:dyDescent="0.25">
      <c r="A27">
        <v>1500</v>
      </c>
      <c r="B27">
        <v>7.9765317337499999</v>
      </c>
      <c r="C27">
        <v>2005.1251407685468</v>
      </c>
    </row>
    <row r="28" spans="1:3" x14ac:dyDescent="0.25">
      <c r="A28">
        <v>1500</v>
      </c>
      <c r="B28">
        <v>6.1562138737499996</v>
      </c>
      <c r="C28">
        <v>1624.4334090684579</v>
      </c>
    </row>
    <row r="29" spans="1:3" x14ac:dyDescent="0.25">
      <c r="A29">
        <v>1500</v>
      </c>
      <c r="B29">
        <v>5.4230302912499999</v>
      </c>
      <c r="C29">
        <v>1509.8205364022524</v>
      </c>
    </row>
    <row r="30" spans="1:3" x14ac:dyDescent="0.25">
      <c r="A30">
        <v>1500</v>
      </c>
      <c r="B30">
        <v>4.1589206662500002</v>
      </c>
      <c r="C30">
        <v>1451.7141252593105</v>
      </c>
    </row>
    <row r="31" spans="1:3" x14ac:dyDescent="0.25">
      <c r="A31">
        <v>1500</v>
      </c>
      <c r="B31">
        <v>2.7178356937500001</v>
      </c>
      <c r="C31">
        <v>1332.7257542230564</v>
      </c>
    </row>
    <row r="32" spans="1:3" x14ac:dyDescent="0.25">
      <c r="A32">
        <v>1500</v>
      </c>
      <c r="B32">
        <v>1.5548548387499999</v>
      </c>
      <c r="C32">
        <v>1081.6829655240542</v>
      </c>
    </row>
    <row r="33" spans="1:3" x14ac:dyDescent="0.25">
      <c r="A33">
        <v>2000</v>
      </c>
      <c r="B33">
        <v>38.968286039999995</v>
      </c>
      <c r="C33">
        <v>11119.114412723502</v>
      </c>
    </row>
    <row r="34" spans="1:3" x14ac:dyDescent="0.25">
      <c r="A34">
        <v>2000</v>
      </c>
      <c r="B34">
        <v>35.7321654</v>
      </c>
      <c r="C34">
        <v>9791.2460732984309</v>
      </c>
    </row>
    <row r="35" spans="1:3" x14ac:dyDescent="0.25">
      <c r="A35">
        <v>2000</v>
      </c>
      <c r="B35">
        <v>32.226368040000004</v>
      </c>
      <c r="C35">
        <v>8468.9436333102822</v>
      </c>
    </row>
    <row r="36" spans="1:3" x14ac:dyDescent="0.25">
      <c r="A36">
        <v>2000</v>
      </c>
      <c r="B36">
        <v>29.040811784999999</v>
      </c>
      <c r="C36">
        <v>7322.894675491455</v>
      </c>
    </row>
    <row r="37" spans="1:3" x14ac:dyDescent="0.25">
      <c r="A37">
        <v>2000</v>
      </c>
      <c r="B37">
        <v>24.742839059999998</v>
      </c>
      <c r="C37">
        <v>5980.7694754519416</v>
      </c>
    </row>
    <row r="38" spans="1:3" x14ac:dyDescent="0.25">
      <c r="A38">
        <v>2000</v>
      </c>
      <c r="B38">
        <v>21.253896494999999</v>
      </c>
      <c r="C38">
        <v>4925.8785686061447</v>
      </c>
    </row>
    <row r="39" spans="1:3" x14ac:dyDescent="0.25">
      <c r="A39">
        <v>2000</v>
      </c>
      <c r="B39">
        <v>19.770674534999998</v>
      </c>
      <c r="C39">
        <v>4611.061493628371</v>
      </c>
    </row>
    <row r="40" spans="1:3" x14ac:dyDescent="0.25">
      <c r="A40">
        <v>2000</v>
      </c>
      <c r="B40">
        <v>18.03463065</v>
      </c>
      <c r="C40">
        <v>4209.6884322829201</v>
      </c>
    </row>
    <row r="41" spans="1:3" x14ac:dyDescent="0.25">
      <c r="A41">
        <v>2000</v>
      </c>
      <c r="B41">
        <v>16.04576484</v>
      </c>
      <c r="C41">
        <v>3748.5740590733972</v>
      </c>
    </row>
    <row r="42" spans="1:3" x14ac:dyDescent="0.25">
      <c r="A42">
        <v>2000</v>
      </c>
      <c r="B42">
        <v>12.523112685000001</v>
      </c>
      <c r="C42">
        <v>3000.1661809740194</v>
      </c>
    </row>
    <row r="43" spans="1:3" x14ac:dyDescent="0.25">
      <c r="A43">
        <v>2000</v>
      </c>
      <c r="B43">
        <v>10.820778389999999</v>
      </c>
      <c r="C43">
        <v>2572.2745036056508</v>
      </c>
    </row>
    <row r="44" spans="1:3" x14ac:dyDescent="0.25">
      <c r="A44">
        <v>2000</v>
      </c>
      <c r="B44">
        <v>8.7982029900000001</v>
      </c>
      <c r="C44">
        <v>2254.6037538279165</v>
      </c>
    </row>
    <row r="45" spans="1:3" x14ac:dyDescent="0.25">
      <c r="A45">
        <v>2000</v>
      </c>
      <c r="B45">
        <v>7.1464330799999995</v>
      </c>
      <c r="C45">
        <v>1906.6429319371728</v>
      </c>
    </row>
    <row r="46" spans="1:3" x14ac:dyDescent="0.25">
      <c r="A46">
        <v>2000</v>
      </c>
      <c r="B46">
        <v>5.5283727599999999</v>
      </c>
      <c r="C46">
        <v>1653.5195100266719</v>
      </c>
    </row>
    <row r="47" spans="1:3" x14ac:dyDescent="0.25">
      <c r="A47">
        <v>2000</v>
      </c>
      <c r="B47">
        <v>3.6406357200000001</v>
      </c>
      <c r="C47">
        <v>1324.8024893806185</v>
      </c>
    </row>
    <row r="48" spans="1:3" x14ac:dyDescent="0.25">
      <c r="A48">
        <v>2000</v>
      </c>
      <c r="B48">
        <v>2.005720605</v>
      </c>
      <c r="C48">
        <v>996.05750765583332</v>
      </c>
    </row>
    <row r="49" spans="1:3" x14ac:dyDescent="0.25">
      <c r="A49">
        <v>2000</v>
      </c>
      <c r="B49">
        <v>1.6854795</v>
      </c>
      <c r="C49">
        <v>1151.9964437419737</v>
      </c>
    </row>
    <row r="50" spans="1:3" x14ac:dyDescent="0.25">
      <c r="A50">
        <v>2250</v>
      </c>
      <c r="B50">
        <v>43.592820418125001</v>
      </c>
      <c r="C50">
        <v>11860.124943198656</v>
      </c>
    </row>
    <row r="51" spans="1:3" x14ac:dyDescent="0.25">
      <c r="A51">
        <v>2250</v>
      </c>
      <c r="B51">
        <v>35.780622935624997</v>
      </c>
      <c r="C51">
        <v>9640.4172300701375</v>
      </c>
    </row>
    <row r="52" spans="1:3" x14ac:dyDescent="0.25">
      <c r="A52">
        <v>2250</v>
      </c>
      <c r="B52">
        <v>28.195965185624999</v>
      </c>
      <c r="C52">
        <v>6975.0360347723008</v>
      </c>
    </row>
    <row r="53" spans="1:3" x14ac:dyDescent="0.25">
      <c r="A53">
        <v>2250</v>
      </c>
      <c r="B53">
        <v>24.043365067500002</v>
      </c>
      <c r="C53">
        <v>5687.3426257038427</v>
      </c>
    </row>
    <row r="54" spans="1:3" x14ac:dyDescent="0.25">
      <c r="A54">
        <v>2250</v>
      </c>
      <c r="B54">
        <v>21.957584186249999</v>
      </c>
      <c r="C54">
        <v>5157.5348720734955</v>
      </c>
    </row>
    <row r="55" spans="1:3" x14ac:dyDescent="0.25">
      <c r="A55">
        <v>2250</v>
      </c>
      <c r="B55">
        <v>20.364806058749998</v>
      </c>
      <c r="C55">
        <v>4757.5783690605549</v>
      </c>
    </row>
    <row r="56" spans="1:3" x14ac:dyDescent="0.25">
      <c r="A56">
        <v>2250</v>
      </c>
      <c r="B56">
        <v>16.818978560625002</v>
      </c>
      <c r="C56">
        <v>3978.4486664032397</v>
      </c>
    </row>
    <row r="57" spans="1:3" x14ac:dyDescent="0.25">
      <c r="A57">
        <v>2250</v>
      </c>
      <c r="B57">
        <v>13.709268883124999</v>
      </c>
      <c r="C57">
        <v>3349.8869060555171</v>
      </c>
    </row>
    <row r="58" spans="1:3" x14ac:dyDescent="0.25">
      <c r="A58">
        <v>2250</v>
      </c>
      <c r="B58">
        <v>11.83206609</v>
      </c>
      <c r="C58">
        <v>2974.3219203793346</v>
      </c>
    </row>
    <row r="59" spans="1:3" x14ac:dyDescent="0.25">
      <c r="A59">
        <v>2250</v>
      </c>
      <c r="B59">
        <v>9.6704386312500006</v>
      </c>
      <c r="C59">
        <v>2513.9805887582729</v>
      </c>
    </row>
    <row r="60" spans="1:3" x14ac:dyDescent="0.25">
      <c r="A60">
        <v>2250</v>
      </c>
      <c r="B60">
        <v>7.9449289931249991</v>
      </c>
      <c r="C60">
        <v>2242.9520023708387</v>
      </c>
    </row>
    <row r="61" spans="1:3" x14ac:dyDescent="0.25">
      <c r="A61">
        <v>2250</v>
      </c>
      <c r="B61">
        <v>4.0198686075000003</v>
      </c>
      <c r="C61">
        <v>1520.8598172478514</v>
      </c>
    </row>
    <row r="62" spans="1:3" x14ac:dyDescent="0.25">
      <c r="A62">
        <v>2250</v>
      </c>
      <c r="B62">
        <v>2.2374740362500001</v>
      </c>
      <c r="C62">
        <v>1196.0836639336167</v>
      </c>
    </row>
    <row r="63" spans="1:3" x14ac:dyDescent="0.25">
      <c r="A63">
        <v>2500</v>
      </c>
      <c r="B63">
        <v>49.36348085625</v>
      </c>
      <c r="C63">
        <v>13627.627373308309</v>
      </c>
    </row>
    <row r="64" spans="1:3" x14ac:dyDescent="0.25">
      <c r="A64">
        <v>2500</v>
      </c>
      <c r="B64">
        <v>38.723891512499996</v>
      </c>
      <c r="C64">
        <v>10289.829111923344</v>
      </c>
    </row>
    <row r="65" spans="1:3" x14ac:dyDescent="0.25">
      <c r="A65">
        <v>2500</v>
      </c>
      <c r="B65">
        <v>35.163316068749999</v>
      </c>
      <c r="C65">
        <v>9062.3274780203501</v>
      </c>
    </row>
    <row r="66" spans="1:3" x14ac:dyDescent="0.25">
      <c r="A66">
        <v>2500</v>
      </c>
      <c r="B66">
        <v>30.317562506249999</v>
      </c>
      <c r="C66">
        <v>7233.6030267707201</v>
      </c>
    </row>
    <row r="67" spans="1:3" x14ac:dyDescent="0.25">
      <c r="A67">
        <v>2500</v>
      </c>
      <c r="B67">
        <v>26.841261037500001</v>
      </c>
      <c r="C67">
        <v>6265.3540452435054</v>
      </c>
    </row>
    <row r="68" spans="1:3" x14ac:dyDescent="0.25">
      <c r="A68">
        <v>2500</v>
      </c>
      <c r="B68">
        <v>24.608000700000002</v>
      </c>
      <c r="C68">
        <v>5789.6867529388528</v>
      </c>
    </row>
    <row r="69" spans="1:3" x14ac:dyDescent="0.25">
      <c r="A69">
        <v>2500</v>
      </c>
      <c r="B69">
        <v>22.775041743750002</v>
      </c>
      <c r="C69">
        <v>5380.6593460436634</v>
      </c>
    </row>
    <row r="70" spans="1:3" x14ac:dyDescent="0.25">
      <c r="A70">
        <v>2500</v>
      </c>
      <c r="B70">
        <v>20.183617012500001</v>
      </c>
      <c r="C70">
        <v>4768.4289123777535</v>
      </c>
    </row>
    <row r="71" spans="1:3" x14ac:dyDescent="0.25">
      <c r="A71">
        <v>2500</v>
      </c>
      <c r="B71">
        <v>18.266384081249999</v>
      </c>
      <c r="C71">
        <v>4335.0856465474662</v>
      </c>
    </row>
    <row r="72" spans="1:3" x14ac:dyDescent="0.25">
      <c r="A72">
        <v>2500</v>
      </c>
      <c r="B72">
        <v>13.504904493750001</v>
      </c>
      <c r="C72">
        <v>3390.8831927294282</v>
      </c>
    </row>
    <row r="73" spans="1:3" x14ac:dyDescent="0.25">
      <c r="A73">
        <v>2500</v>
      </c>
      <c r="B73">
        <v>10.744931812500001</v>
      </c>
      <c r="C73">
        <v>2837.3504642892422</v>
      </c>
    </row>
    <row r="74" spans="1:3" x14ac:dyDescent="0.25">
      <c r="A74">
        <v>2500</v>
      </c>
      <c r="B74">
        <v>8.7855618937499997</v>
      </c>
      <c r="C74">
        <v>2452.8383443643188</v>
      </c>
    </row>
    <row r="75" spans="1:3" x14ac:dyDescent="0.25">
      <c r="A75">
        <v>2500</v>
      </c>
      <c r="B75">
        <v>6.4469590874999998</v>
      </c>
      <c r="C75">
        <v>2048.4286278771115</v>
      </c>
    </row>
    <row r="76" spans="1:3" x14ac:dyDescent="0.25">
      <c r="A76">
        <v>2500</v>
      </c>
      <c r="B76">
        <v>4.7614795874999993</v>
      </c>
      <c r="C76">
        <v>1760.5487632124864</v>
      </c>
    </row>
    <row r="77" spans="1:3" x14ac:dyDescent="0.25">
      <c r="A77">
        <v>2500</v>
      </c>
      <c r="B77">
        <v>2.2332603375</v>
      </c>
      <c r="C77">
        <v>1233.2768329546577</v>
      </c>
    </row>
    <row r="78" spans="1:3" x14ac:dyDescent="0.25">
      <c r="A78">
        <v>2750</v>
      </c>
      <c r="B78">
        <v>52.028645315624999</v>
      </c>
      <c r="C78">
        <v>14084.145441074779</v>
      </c>
    </row>
    <row r="79" spans="1:3" x14ac:dyDescent="0.25">
      <c r="A79">
        <v>2750</v>
      </c>
      <c r="B79">
        <v>47.996135611874998</v>
      </c>
      <c r="C79">
        <v>12866.086219500148</v>
      </c>
    </row>
    <row r="80" spans="1:3" x14ac:dyDescent="0.25">
      <c r="A80">
        <v>2750</v>
      </c>
      <c r="B80">
        <v>43.801398506250003</v>
      </c>
      <c r="C80">
        <v>11557.827027561001</v>
      </c>
    </row>
    <row r="81" spans="1:3" x14ac:dyDescent="0.25">
      <c r="A81">
        <v>2750</v>
      </c>
      <c r="B81">
        <v>37.891686009375</v>
      </c>
      <c r="C81">
        <v>9769.1835483552295</v>
      </c>
    </row>
    <row r="82" spans="1:3" x14ac:dyDescent="0.25">
      <c r="A82">
        <v>2750</v>
      </c>
      <c r="B82">
        <v>34.114105079999995</v>
      </c>
      <c r="C82">
        <v>8086.1729131680331</v>
      </c>
    </row>
    <row r="83" spans="1:3" x14ac:dyDescent="0.25">
      <c r="A83">
        <v>2750</v>
      </c>
      <c r="B83">
        <v>28.946003563124997</v>
      </c>
      <c r="C83">
        <v>6736.8754904672533</v>
      </c>
    </row>
    <row r="84" spans="1:3" x14ac:dyDescent="0.25">
      <c r="A84">
        <v>2750</v>
      </c>
      <c r="B84">
        <v>27.648184348125</v>
      </c>
      <c r="C84">
        <v>6451.0100572952688</v>
      </c>
    </row>
    <row r="85" spans="1:3" x14ac:dyDescent="0.25">
      <c r="A85">
        <v>2750</v>
      </c>
      <c r="B85">
        <v>22.225154056874999</v>
      </c>
      <c r="C85">
        <v>5278.9418759261089</v>
      </c>
    </row>
    <row r="86" spans="1:3" x14ac:dyDescent="0.25">
      <c r="A86">
        <v>2750</v>
      </c>
      <c r="B86">
        <v>19.953970430624999</v>
      </c>
      <c r="C86">
        <v>4723.9103516744053</v>
      </c>
    </row>
    <row r="87" spans="1:3" x14ac:dyDescent="0.25">
      <c r="A87">
        <v>2750</v>
      </c>
      <c r="B87">
        <v>17.172929255624997</v>
      </c>
      <c r="C87">
        <v>4228.0796265929075</v>
      </c>
    </row>
    <row r="88" spans="1:3" x14ac:dyDescent="0.25">
      <c r="A88">
        <v>2750</v>
      </c>
      <c r="B88">
        <v>15.040797688125</v>
      </c>
      <c r="C88">
        <v>3775.0556682801539</v>
      </c>
    </row>
    <row r="89" spans="1:3" x14ac:dyDescent="0.25">
      <c r="A89">
        <v>2750</v>
      </c>
      <c r="B89">
        <v>12.167055140624999</v>
      </c>
      <c r="C89">
        <v>3220.006050577892</v>
      </c>
    </row>
    <row r="90" spans="1:3" x14ac:dyDescent="0.25">
      <c r="A90">
        <v>2750</v>
      </c>
      <c r="B90">
        <v>7.2538823981249996</v>
      </c>
      <c r="C90">
        <v>2315.4349313444632</v>
      </c>
    </row>
    <row r="91" spans="1:3" x14ac:dyDescent="0.25">
      <c r="A91">
        <v>2750</v>
      </c>
      <c r="B91">
        <v>4.9363480856250002</v>
      </c>
      <c r="C91">
        <v>1872.4138427343673</v>
      </c>
    </row>
    <row r="92" spans="1:3" x14ac:dyDescent="0.25">
      <c r="A92">
        <v>2750</v>
      </c>
      <c r="B92">
        <v>2.4334110281250001</v>
      </c>
      <c r="C92">
        <v>1419.3197757581745</v>
      </c>
    </row>
    <row r="93" spans="1:3" x14ac:dyDescent="0.25">
      <c r="A93">
        <v>3000</v>
      </c>
      <c r="B93">
        <v>56.455135852499993</v>
      </c>
      <c r="C93">
        <v>15282.395683097897</v>
      </c>
    </row>
    <row r="94" spans="1:3" x14ac:dyDescent="0.25">
      <c r="A94">
        <v>3000</v>
      </c>
      <c r="B94">
        <v>51.752648047499996</v>
      </c>
      <c r="C94">
        <v>13772.070611478812</v>
      </c>
    </row>
    <row r="95" spans="1:3" x14ac:dyDescent="0.25">
      <c r="A95">
        <v>3000</v>
      </c>
      <c r="B95">
        <v>47.454675322500002</v>
      </c>
      <c r="C95">
        <v>12382.887740788305</v>
      </c>
    </row>
    <row r="96" spans="1:3" x14ac:dyDescent="0.25">
      <c r="A96">
        <v>3000</v>
      </c>
      <c r="B96">
        <v>42.524647784999999</v>
      </c>
      <c r="C96">
        <v>10897.25147683493</v>
      </c>
    </row>
    <row r="97" spans="1:3" x14ac:dyDescent="0.25">
      <c r="A97">
        <v>3000</v>
      </c>
      <c r="B97">
        <v>37.013129820000003</v>
      </c>
      <c r="C97">
        <v>8683.0399683888172</v>
      </c>
    </row>
    <row r="98" spans="1:3" x14ac:dyDescent="0.25">
      <c r="A98">
        <v>3000</v>
      </c>
      <c r="B98">
        <v>32.184231052500003</v>
      </c>
      <c r="C98">
        <v>7449.7096809246277</v>
      </c>
    </row>
    <row r="99" spans="1:3" x14ac:dyDescent="0.25">
      <c r="A99">
        <v>3000</v>
      </c>
      <c r="B99">
        <v>29.984680304999998</v>
      </c>
      <c r="C99">
        <v>7022.5071619085256</v>
      </c>
    </row>
    <row r="100" spans="1:3" x14ac:dyDescent="0.25">
      <c r="A100">
        <v>3000</v>
      </c>
      <c r="B100">
        <v>26.925535012499999</v>
      </c>
      <c r="C100">
        <v>6405.8913612565448</v>
      </c>
    </row>
    <row r="101" spans="1:3" x14ac:dyDescent="0.25">
      <c r="A101">
        <v>3000</v>
      </c>
      <c r="B101">
        <v>23.638849987499999</v>
      </c>
      <c r="C101">
        <v>5575.5090022720542</v>
      </c>
    </row>
    <row r="102" spans="1:3" x14ac:dyDescent="0.25">
      <c r="A102">
        <v>3000</v>
      </c>
      <c r="B102">
        <v>22.197765014999998</v>
      </c>
      <c r="C102">
        <v>5302.7626592907245</v>
      </c>
    </row>
    <row r="103" spans="1:3" x14ac:dyDescent="0.25">
      <c r="A103">
        <v>3000</v>
      </c>
      <c r="B103">
        <v>15.927781274999999</v>
      </c>
      <c r="C103">
        <v>4103.3705423293486</v>
      </c>
    </row>
    <row r="104" spans="1:3" x14ac:dyDescent="0.25">
      <c r="A104">
        <v>3000</v>
      </c>
      <c r="B104">
        <v>12.742225020000001</v>
      </c>
      <c r="C104">
        <v>3510.2469821199252</v>
      </c>
    </row>
    <row r="105" spans="1:3" x14ac:dyDescent="0.25">
      <c r="A105">
        <v>3000</v>
      </c>
      <c r="B105">
        <v>10.239287962499999</v>
      </c>
      <c r="C105">
        <v>2959.622616813198</v>
      </c>
    </row>
    <row r="106" spans="1:3" x14ac:dyDescent="0.25">
      <c r="A106">
        <v>3000</v>
      </c>
      <c r="B106">
        <v>8.1661481774999984</v>
      </c>
      <c r="C106">
        <v>2582.7229013138399</v>
      </c>
    </row>
    <row r="107" spans="1:3" x14ac:dyDescent="0.25">
      <c r="A107">
        <v>3000</v>
      </c>
      <c r="B107">
        <v>5.3345426175000004</v>
      </c>
      <c r="C107">
        <v>2095.8127877111529</v>
      </c>
    </row>
    <row r="108" spans="1:3" x14ac:dyDescent="0.25">
      <c r="A108">
        <v>3500</v>
      </c>
      <c r="B108">
        <v>64.1240675775</v>
      </c>
      <c r="C108">
        <v>17533.584895781882</v>
      </c>
    </row>
    <row r="109" spans="1:3" x14ac:dyDescent="0.25">
      <c r="A109">
        <v>3500</v>
      </c>
      <c r="B109">
        <v>60.496072953750001</v>
      </c>
      <c r="C109">
        <v>16193.268527116465</v>
      </c>
    </row>
    <row r="110" spans="1:3" x14ac:dyDescent="0.25">
      <c r="A110">
        <v>3500</v>
      </c>
      <c r="B110">
        <v>56.101185157499998</v>
      </c>
      <c r="C110">
        <v>14617.221357305147</v>
      </c>
    </row>
    <row r="111" spans="1:3" x14ac:dyDescent="0.25">
      <c r="A111">
        <v>3500</v>
      </c>
      <c r="B111">
        <v>49.494105517499996</v>
      </c>
      <c r="C111">
        <v>12678.396038723698</v>
      </c>
    </row>
    <row r="112" spans="1:3" x14ac:dyDescent="0.25">
      <c r="A112">
        <v>3500</v>
      </c>
      <c r="B112">
        <v>43.860390288750004</v>
      </c>
      <c r="C112">
        <v>10434.886259014127</v>
      </c>
    </row>
    <row r="113" spans="1:3" x14ac:dyDescent="0.25">
      <c r="A113">
        <v>3500</v>
      </c>
      <c r="B113">
        <v>37.282806539999996</v>
      </c>
      <c r="C113">
        <v>8739.0279166255059</v>
      </c>
    </row>
    <row r="114" spans="1:3" x14ac:dyDescent="0.25">
      <c r="A114">
        <v>3500</v>
      </c>
      <c r="B114">
        <v>34.59868043625</v>
      </c>
      <c r="C114">
        <v>8167.2703210510736</v>
      </c>
    </row>
    <row r="115" spans="1:3" x14ac:dyDescent="0.25">
      <c r="A115">
        <v>3500</v>
      </c>
      <c r="B115">
        <v>30.941189921249997</v>
      </c>
      <c r="C115">
        <v>7322.0093786426951</v>
      </c>
    </row>
    <row r="116" spans="1:3" x14ac:dyDescent="0.25">
      <c r="A116">
        <v>3500</v>
      </c>
      <c r="B116">
        <v>27.93260901375</v>
      </c>
      <c r="C116">
        <v>6631.856762817346</v>
      </c>
    </row>
    <row r="117" spans="1:3" x14ac:dyDescent="0.25">
      <c r="A117">
        <v>3500</v>
      </c>
      <c r="B117">
        <v>25.277978801249997</v>
      </c>
      <c r="C117">
        <v>6038.5864071915448</v>
      </c>
    </row>
    <row r="118" spans="1:3" x14ac:dyDescent="0.25">
      <c r="A118">
        <v>3500</v>
      </c>
      <c r="B118">
        <v>22.033430763749998</v>
      </c>
      <c r="C118">
        <v>5407.5636609700687</v>
      </c>
    </row>
    <row r="119" spans="1:3" x14ac:dyDescent="0.25">
      <c r="A119">
        <v>3500</v>
      </c>
      <c r="B119">
        <v>18.936362182500002</v>
      </c>
      <c r="C119">
        <v>4800.8399140570973</v>
      </c>
    </row>
    <row r="120" spans="1:3" x14ac:dyDescent="0.25">
      <c r="A120">
        <v>3500</v>
      </c>
      <c r="B120">
        <v>15.0429045375</v>
      </c>
      <c r="C120">
        <v>4072.1117010767557</v>
      </c>
    </row>
    <row r="121" spans="1:3" x14ac:dyDescent="0.25">
      <c r="A121">
        <v>3500</v>
      </c>
      <c r="B121">
        <v>12.12281130375</v>
      </c>
      <c r="C121">
        <v>3533.6220329941716</v>
      </c>
    </row>
    <row r="122" spans="1:3" x14ac:dyDescent="0.25">
      <c r="A122">
        <v>3500</v>
      </c>
      <c r="B122">
        <v>9.8516276774999998</v>
      </c>
      <c r="C122">
        <v>3141.7495702854885</v>
      </c>
    </row>
    <row r="123" spans="1:3" x14ac:dyDescent="0.25">
      <c r="A123">
        <v>3500</v>
      </c>
      <c r="B123">
        <v>5.8991782499999994</v>
      </c>
      <c r="C123">
        <v>2363.6980144226018</v>
      </c>
    </row>
    <row r="124" spans="1:3" x14ac:dyDescent="0.25">
      <c r="A124">
        <v>3500</v>
      </c>
      <c r="B124">
        <v>3.1855562550000003</v>
      </c>
      <c r="C124">
        <v>1878.2246073298429</v>
      </c>
    </row>
    <row r="125" spans="1:3" x14ac:dyDescent="0.25">
      <c r="A125">
        <v>4000</v>
      </c>
      <c r="B125">
        <v>71.059815719999989</v>
      </c>
      <c r="C125">
        <v>19430.041766274819</v>
      </c>
    </row>
    <row r="126" spans="1:3" x14ac:dyDescent="0.25">
      <c r="A126">
        <v>4000</v>
      </c>
      <c r="B126">
        <v>69.677722530000011</v>
      </c>
      <c r="C126">
        <v>18834.549738219896</v>
      </c>
    </row>
    <row r="127" spans="1:3" x14ac:dyDescent="0.25">
      <c r="A127">
        <v>4000</v>
      </c>
      <c r="B127">
        <v>63.374029199999995</v>
      </c>
      <c r="C127">
        <v>16722.435641608219</v>
      </c>
    </row>
    <row r="128" spans="1:3" x14ac:dyDescent="0.25">
      <c r="A128">
        <v>4000</v>
      </c>
      <c r="B128">
        <v>56.396144069999998</v>
      </c>
      <c r="C128">
        <v>14617.025624814778</v>
      </c>
    </row>
    <row r="129" spans="1:3" x14ac:dyDescent="0.25">
      <c r="A129">
        <v>4000</v>
      </c>
      <c r="B129">
        <v>50.49696582</v>
      </c>
      <c r="C129">
        <v>12181.345925121012</v>
      </c>
    </row>
    <row r="130" spans="1:3" x14ac:dyDescent="0.25">
      <c r="A130">
        <v>4000</v>
      </c>
      <c r="B130">
        <v>43.181984790000001</v>
      </c>
      <c r="C130">
        <v>10172.352286871481</v>
      </c>
    </row>
    <row r="131" spans="1:3" x14ac:dyDescent="0.25">
      <c r="A131">
        <v>4000</v>
      </c>
      <c r="B131">
        <v>40.080702509999995</v>
      </c>
      <c r="C131">
        <v>9500.454144028452</v>
      </c>
    </row>
    <row r="132" spans="1:3" x14ac:dyDescent="0.25">
      <c r="A132">
        <v>4000</v>
      </c>
      <c r="B132">
        <v>36.372647610000001</v>
      </c>
      <c r="C132">
        <v>8607.3246567223159</v>
      </c>
    </row>
    <row r="133" spans="1:3" x14ac:dyDescent="0.25">
      <c r="A133">
        <v>4000</v>
      </c>
      <c r="B133">
        <v>31.821852959999998</v>
      </c>
      <c r="C133">
        <v>7626.6769929862694</v>
      </c>
    </row>
    <row r="134" spans="1:3" x14ac:dyDescent="0.25">
      <c r="A134">
        <v>4000</v>
      </c>
      <c r="B134">
        <v>28.552022730000001</v>
      </c>
      <c r="C134">
        <v>6982.3155783858538</v>
      </c>
    </row>
    <row r="135" spans="1:3" x14ac:dyDescent="0.25">
      <c r="A135">
        <v>4000</v>
      </c>
      <c r="B135">
        <v>24.84396783</v>
      </c>
      <c r="C135">
        <v>6235.5310876222466</v>
      </c>
    </row>
    <row r="136" spans="1:3" x14ac:dyDescent="0.25">
      <c r="A136">
        <v>4000</v>
      </c>
      <c r="B136">
        <v>21.675266369999999</v>
      </c>
      <c r="C136">
        <v>5560.790783364615</v>
      </c>
    </row>
    <row r="137" spans="1:3" x14ac:dyDescent="0.25">
      <c r="A137">
        <v>4000</v>
      </c>
      <c r="B137">
        <v>17.124471719999999</v>
      </c>
      <c r="C137">
        <v>4695.7506667983798</v>
      </c>
    </row>
    <row r="138" spans="1:3" x14ac:dyDescent="0.25">
      <c r="A138">
        <v>4000</v>
      </c>
      <c r="B138">
        <v>14.12431821</v>
      </c>
      <c r="C138">
        <v>4166.6513978069743</v>
      </c>
    </row>
    <row r="139" spans="1:3" x14ac:dyDescent="0.25">
      <c r="A139">
        <v>4000</v>
      </c>
      <c r="B139">
        <v>10.7870688</v>
      </c>
      <c r="C139">
        <v>3546.3858539958514</v>
      </c>
    </row>
    <row r="140" spans="1:3" x14ac:dyDescent="0.25">
      <c r="A140">
        <v>4000</v>
      </c>
      <c r="B140">
        <v>7.44981939</v>
      </c>
      <c r="C140">
        <v>2840.342299713524</v>
      </c>
    </row>
    <row r="141" spans="1:3" x14ac:dyDescent="0.25">
      <c r="A141">
        <v>4000</v>
      </c>
      <c r="B141">
        <v>3.7080548999999996</v>
      </c>
      <c r="C141">
        <v>2118.3689194338208</v>
      </c>
    </row>
    <row r="142" spans="1:3" x14ac:dyDescent="0.25">
      <c r="A142">
        <v>4500</v>
      </c>
      <c r="B142">
        <v>76.832583007499991</v>
      </c>
      <c r="C142">
        <v>20393.692383680725</v>
      </c>
    </row>
    <row r="143" spans="1:3" x14ac:dyDescent="0.25">
      <c r="A143">
        <v>4500</v>
      </c>
      <c r="B143">
        <v>63.786971677499999</v>
      </c>
      <c r="C143">
        <v>16095.113569758634</v>
      </c>
    </row>
    <row r="144" spans="1:3" x14ac:dyDescent="0.25">
      <c r="A144">
        <v>4500</v>
      </c>
      <c r="B144">
        <v>57.112472857500002</v>
      </c>
      <c r="C144">
        <v>13535.159330708475</v>
      </c>
    </row>
    <row r="145" spans="1:3" x14ac:dyDescent="0.25">
      <c r="A145">
        <v>4500</v>
      </c>
      <c r="B145">
        <v>48.086730135000003</v>
      </c>
      <c r="C145">
        <v>10926.884115851219</v>
      </c>
    </row>
    <row r="146" spans="1:3" x14ac:dyDescent="0.25">
      <c r="A146">
        <v>4500</v>
      </c>
      <c r="B146">
        <v>44.901173880000002</v>
      </c>
      <c r="C146">
        <v>10248.92428839559</v>
      </c>
    </row>
    <row r="147" spans="1:3" x14ac:dyDescent="0.25">
      <c r="A147">
        <v>4500</v>
      </c>
      <c r="B147">
        <v>40.653765539999995</v>
      </c>
      <c r="C147">
        <v>9377.6664738008221</v>
      </c>
    </row>
    <row r="148" spans="1:3" x14ac:dyDescent="0.25">
      <c r="A148">
        <v>4500</v>
      </c>
      <c r="B148">
        <v>36.368433911250001</v>
      </c>
      <c r="C148">
        <v>8531.1224933320154</v>
      </c>
    </row>
    <row r="149" spans="1:3" x14ac:dyDescent="0.25">
      <c r="A149">
        <v>4500</v>
      </c>
      <c r="B149">
        <v>32.727798191249995</v>
      </c>
      <c r="C149">
        <v>7719.7037373637586</v>
      </c>
    </row>
    <row r="150" spans="1:3" x14ac:dyDescent="0.25">
      <c r="A150">
        <v>4500</v>
      </c>
      <c r="B150">
        <v>28.290773407499998</v>
      </c>
      <c r="C150">
        <v>6841.389861842199</v>
      </c>
    </row>
    <row r="151" spans="1:3" x14ac:dyDescent="0.25">
      <c r="A151">
        <v>4500</v>
      </c>
      <c r="B151">
        <v>24.157134933749997</v>
      </c>
      <c r="C151">
        <v>6005.6696386823023</v>
      </c>
    </row>
    <row r="152" spans="1:3" x14ac:dyDescent="0.25">
      <c r="A152">
        <v>4500</v>
      </c>
      <c r="B152">
        <v>15.965704563749998</v>
      </c>
      <c r="C152">
        <v>4619.122037980459</v>
      </c>
    </row>
    <row r="153" spans="1:3" x14ac:dyDescent="0.25">
      <c r="A153">
        <v>4500</v>
      </c>
      <c r="B153">
        <v>8.684433123749999</v>
      </c>
      <c r="C153">
        <v>3221.990347299643</v>
      </c>
    </row>
    <row r="154" spans="1:3" x14ac:dyDescent="0.25">
      <c r="A154">
        <v>4500</v>
      </c>
      <c r="B154">
        <v>4.5507946499999994</v>
      </c>
      <c r="C154">
        <v>2544.8341118527819</v>
      </c>
    </row>
    <row r="155" spans="1:3" x14ac:dyDescent="0.25">
      <c r="A155">
        <v>4500</v>
      </c>
      <c r="B155">
        <v>3.7923288749999999</v>
      </c>
      <c r="C155">
        <v>2252.8640578033051</v>
      </c>
    </row>
    <row r="156" spans="1:3" x14ac:dyDescent="0.25">
      <c r="A156">
        <v>5000</v>
      </c>
      <c r="B156">
        <v>81.324385875000004</v>
      </c>
      <c r="C156">
        <v>23097.57412398922</v>
      </c>
    </row>
    <row r="157" spans="1:3" x14ac:dyDescent="0.25">
      <c r="A157">
        <v>5000</v>
      </c>
      <c r="B157">
        <v>71.042960925000003</v>
      </c>
      <c r="C157">
        <v>18414.579039716253</v>
      </c>
    </row>
    <row r="158" spans="1:3" x14ac:dyDescent="0.25">
      <c r="A158">
        <v>5000</v>
      </c>
      <c r="B158">
        <v>62.025645599999997</v>
      </c>
      <c r="C158">
        <v>15287.520074512073</v>
      </c>
    </row>
    <row r="159" spans="1:3" x14ac:dyDescent="0.25">
      <c r="A159">
        <v>5000</v>
      </c>
      <c r="B159">
        <v>54.693809774999998</v>
      </c>
      <c r="C159">
        <v>13094.11834436432</v>
      </c>
    </row>
    <row r="160" spans="1:3" x14ac:dyDescent="0.25">
      <c r="A160">
        <v>5000</v>
      </c>
      <c r="B160">
        <v>50.058741149999996</v>
      </c>
      <c r="C160">
        <v>11751.829920548678</v>
      </c>
    </row>
    <row r="161" spans="1:3" x14ac:dyDescent="0.25">
      <c r="A161">
        <v>5000</v>
      </c>
      <c r="B161">
        <v>45.002302649999997</v>
      </c>
      <c r="C161">
        <v>10598.235700879186</v>
      </c>
    </row>
    <row r="162" spans="1:3" x14ac:dyDescent="0.25">
      <c r="A162">
        <v>5000</v>
      </c>
      <c r="B162">
        <v>36.785590087499997</v>
      </c>
      <c r="C162">
        <v>9005.0416307983232</v>
      </c>
    </row>
    <row r="163" spans="1:3" x14ac:dyDescent="0.25">
      <c r="A163">
        <v>5000</v>
      </c>
      <c r="B163">
        <v>31.265644725000001</v>
      </c>
      <c r="C163">
        <v>7825.2094240837705</v>
      </c>
    </row>
    <row r="164" spans="1:3" x14ac:dyDescent="0.25">
      <c r="A164">
        <v>5000</v>
      </c>
      <c r="B164">
        <v>21.869096512500001</v>
      </c>
      <c r="C164">
        <v>5879.9211489159525</v>
      </c>
    </row>
    <row r="165" spans="1:3" x14ac:dyDescent="0.25">
      <c r="A165">
        <v>5000</v>
      </c>
      <c r="B165">
        <v>9.6493701375000001</v>
      </c>
      <c r="C165">
        <v>3695.6753014116839</v>
      </c>
    </row>
    <row r="166" spans="1:3" x14ac:dyDescent="0.25">
      <c r="A166">
        <v>5000</v>
      </c>
      <c r="B166">
        <v>4.8878905499999998</v>
      </c>
      <c r="C166">
        <v>2866.4413429107685</v>
      </c>
    </row>
    <row r="167" spans="1:3" x14ac:dyDescent="0.25">
      <c r="A167">
        <v>5000</v>
      </c>
      <c r="B167">
        <v>4.2136987499999998</v>
      </c>
      <c r="C167">
        <v>2609.7006816161215</v>
      </c>
    </row>
    <row r="168" spans="1:3" x14ac:dyDescent="0.25">
      <c r="A168">
        <v>5500</v>
      </c>
      <c r="B168">
        <v>85.887821621249998</v>
      </c>
      <c r="C168">
        <v>25591.004492362983</v>
      </c>
    </row>
    <row r="169" spans="1:3" x14ac:dyDescent="0.25">
      <c r="A169">
        <v>5500</v>
      </c>
      <c r="B169">
        <v>77.683750154999998</v>
      </c>
      <c r="C169">
        <v>20922.847574829593</v>
      </c>
    </row>
    <row r="170" spans="1:3" x14ac:dyDescent="0.25">
      <c r="A170">
        <v>5500</v>
      </c>
      <c r="B170">
        <v>69.711432119999998</v>
      </c>
      <c r="C170">
        <v>17797.33156461241</v>
      </c>
    </row>
    <row r="171" spans="1:3" x14ac:dyDescent="0.25">
      <c r="A171">
        <v>5500</v>
      </c>
      <c r="B171">
        <v>60.116840066249999</v>
      </c>
      <c r="C171">
        <v>14705.312456781585</v>
      </c>
    </row>
    <row r="172" spans="1:3" x14ac:dyDescent="0.25">
      <c r="A172">
        <v>5500</v>
      </c>
      <c r="B172">
        <v>55.389070068750001</v>
      </c>
      <c r="C172">
        <v>13476.773928300945</v>
      </c>
    </row>
    <row r="173" spans="1:3" x14ac:dyDescent="0.25">
      <c r="A173">
        <v>5500</v>
      </c>
      <c r="B173">
        <v>45.006516348749997</v>
      </c>
      <c r="C173">
        <v>11088.61623930418</v>
      </c>
    </row>
    <row r="174" spans="1:3" x14ac:dyDescent="0.25">
      <c r="A174">
        <v>5500</v>
      </c>
      <c r="B174">
        <v>40.27874635125</v>
      </c>
      <c r="C174">
        <v>10163.376309488531</v>
      </c>
    </row>
    <row r="175" spans="1:3" x14ac:dyDescent="0.25">
      <c r="A175">
        <v>5500</v>
      </c>
      <c r="B175">
        <v>35.226521549999994</v>
      </c>
      <c r="C175">
        <v>9078.4531688799198</v>
      </c>
    </row>
    <row r="176" spans="1:3" x14ac:dyDescent="0.25">
      <c r="A176">
        <v>5500</v>
      </c>
      <c r="B176">
        <v>30.684154297500001</v>
      </c>
      <c r="C176">
        <v>8056.0997944332321</v>
      </c>
    </row>
    <row r="177" spans="1:3" x14ac:dyDescent="0.25">
      <c r="A177">
        <v>5500</v>
      </c>
      <c r="B177">
        <v>24.056006163749998</v>
      </c>
      <c r="C177">
        <v>6722.7843703400549</v>
      </c>
    </row>
    <row r="178" spans="1:3" x14ac:dyDescent="0.25">
      <c r="A178">
        <v>5500</v>
      </c>
      <c r="B178">
        <v>20.069847146249998</v>
      </c>
      <c r="C178">
        <v>6009.8250311642978</v>
      </c>
    </row>
    <row r="179" spans="1:3" x14ac:dyDescent="0.25">
      <c r="A179">
        <v>5500</v>
      </c>
      <c r="B179">
        <v>15.203025089999999</v>
      </c>
      <c r="C179">
        <v>5075.2631772060795</v>
      </c>
    </row>
    <row r="180" spans="1:3" x14ac:dyDescent="0.25">
      <c r="A180">
        <v>5500</v>
      </c>
      <c r="B180">
        <v>9.9190468574999997</v>
      </c>
      <c r="C180">
        <v>4130.8280088247884</v>
      </c>
    </row>
    <row r="181" spans="1:3" x14ac:dyDescent="0.25">
      <c r="A181">
        <v>5500</v>
      </c>
      <c r="B181">
        <v>5.747485095</v>
      </c>
      <c r="C181">
        <v>3341.1609347878234</v>
      </c>
    </row>
    <row r="182" spans="1:3" x14ac:dyDescent="0.25">
      <c r="A182">
        <v>5500</v>
      </c>
      <c r="B182">
        <v>4.6350686250000006</v>
      </c>
      <c r="C182">
        <v>2882.3016186618879</v>
      </c>
    </row>
    <row r="183" spans="1:3" x14ac:dyDescent="0.25">
      <c r="A183">
        <v>6000</v>
      </c>
      <c r="B183">
        <v>85.757196959999987</v>
      </c>
      <c r="C183">
        <v>27767.766641735227</v>
      </c>
    </row>
    <row r="184" spans="1:3" x14ac:dyDescent="0.25">
      <c r="A184">
        <v>6000</v>
      </c>
      <c r="B184">
        <v>70.587881459999991</v>
      </c>
      <c r="C184">
        <v>18532.790956943878</v>
      </c>
    </row>
    <row r="185" spans="1:3" x14ac:dyDescent="0.25">
      <c r="A185">
        <v>6000</v>
      </c>
      <c r="B185">
        <v>64.014511409999997</v>
      </c>
      <c r="C185">
        <v>16455.945414261721</v>
      </c>
    </row>
    <row r="186" spans="1:3" x14ac:dyDescent="0.25">
      <c r="A186">
        <v>6000</v>
      </c>
      <c r="B186">
        <v>54.255585105000002</v>
      </c>
      <c r="C186">
        <v>14078.360847292586</v>
      </c>
    </row>
    <row r="187" spans="1:3" x14ac:dyDescent="0.25">
      <c r="A187">
        <v>6000</v>
      </c>
      <c r="B187">
        <v>48.895760295000002</v>
      </c>
      <c r="C187">
        <v>12705.758541369723</v>
      </c>
    </row>
    <row r="188" spans="1:3" x14ac:dyDescent="0.25">
      <c r="A188">
        <v>6000</v>
      </c>
      <c r="B188">
        <v>44.800045109999999</v>
      </c>
      <c r="C188">
        <v>11462.435105347087</v>
      </c>
    </row>
    <row r="189" spans="1:3" x14ac:dyDescent="0.25">
      <c r="A189">
        <v>6000</v>
      </c>
      <c r="B189">
        <v>37.367080514999998</v>
      </c>
      <c r="C189">
        <v>9824.5879021370474</v>
      </c>
    </row>
    <row r="190" spans="1:3" x14ac:dyDescent="0.25">
      <c r="A190">
        <v>6000</v>
      </c>
      <c r="B190">
        <v>33.878137950000003</v>
      </c>
      <c r="C190">
        <v>9143.4137254625257</v>
      </c>
    </row>
    <row r="191" spans="1:3" x14ac:dyDescent="0.25">
      <c r="A191">
        <v>6000</v>
      </c>
      <c r="B191">
        <v>22.450586940000001</v>
      </c>
      <c r="C191">
        <v>6808.2736060738625</v>
      </c>
    </row>
    <row r="192" spans="1:3" x14ac:dyDescent="0.25">
      <c r="A192">
        <v>6000</v>
      </c>
      <c r="B192">
        <v>17.191890900000001</v>
      </c>
      <c r="C192">
        <v>5795.1332891153097</v>
      </c>
    </row>
    <row r="193" spans="1:3" x14ac:dyDescent="0.25">
      <c r="A193">
        <v>6000</v>
      </c>
      <c r="B193">
        <v>11.528679779999999</v>
      </c>
      <c r="C193">
        <v>4673.6637642708974</v>
      </c>
    </row>
    <row r="194" spans="1:3" x14ac:dyDescent="0.25">
      <c r="A194">
        <v>6000</v>
      </c>
      <c r="B194">
        <v>6.3205481250000002</v>
      </c>
      <c r="C194">
        <v>3785.3191459335881</v>
      </c>
    </row>
    <row r="195" spans="1:3" x14ac:dyDescent="0.25">
      <c r="A195">
        <v>6000</v>
      </c>
      <c r="B195">
        <v>5.0564384999999996</v>
      </c>
      <c r="C195">
        <v>3195.5518550401489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C58"/>
  <sheetViews>
    <sheetView workbookViewId="0">
      <selection activeCell="D4" sqref="D4:D58"/>
    </sheetView>
  </sheetViews>
  <sheetFormatPr defaultRowHeight="15" x14ac:dyDescent="0.25"/>
  <sheetData>
    <row r="3" spans="1:3" x14ac:dyDescent="0.25">
      <c r="A3" t="s">
        <v>20</v>
      </c>
      <c r="B3" t="s">
        <v>21</v>
      </c>
      <c r="C3" t="s">
        <v>11</v>
      </c>
    </row>
    <row r="4" spans="1:3" x14ac:dyDescent="0.25">
      <c r="A4">
        <v>1000</v>
      </c>
      <c r="B4">
        <v>2.0786623759009899</v>
      </c>
      <c r="C4">
        <v>754.905681372549</v>
      </c>
    </row>
    <row r="5" spans="1:3" x14ac:dyDescent="0.25">
      <c r="A5">
        <v>1000</v>
      </c>
      <c r="B5">
        <v>2.6740074260792079</v>
      </c>
      <c r="C5">
        <v>887.2697957843136</v>
      </c>
    </row>
    <row r="6" spans="1:3" x14ac:dyDescent="0.25">
      <c r="A6">
        <v>1000</v>
      </c>
      <c r="B6">
        <v>3.0271782178217825</v>
      </c>
      <c r="C6">
        <v>932.16372549019604</v>
      </c>
    </row>
    <row r="7" spans="1:3" x14ac:dyDescent="0.25">
      <c r="A7">
        <v>1000</v>
      </c>
      <c r="B7">
        <v>3.6527950491683168</v>
      </c>
      <c r="C7">
        <v>1071.6199637254902</v>
      </c>
    </row>
    <row r="8" spans="1:3" x14ac:dyDescent="0.25">
      <c r="A8">
        <v>1000</v>
      </c>
      <c r="B8">
        <v>4.0261470297029698</v>
      </c>
      <c r="C8">
        <v>1108.4519901960784</v>
      </c>
    </row>
    <row r="9" spans="1:3" x14ac:dyDescent="0.25">
      <c r="A9">
        <v>1000</v>
      </c>
      <c r="B9">
        <v>4.6214920788712872</v>
      </c>
      <c r="C9">
        <v>1255.3098990196079</v>
      </c>
    </row>
    <row r="10" spans="1:3" x14ac:dyDescent="0.25">
      <c r="A10">
        <v>1000</v>
      </c>
      <c r="B10">
        <v>5.1865653468712862</v>
      </c>
      <c r="C10">
        <v>1357.4404049019608</v>
      </c>
    </row>
    <row r="11" spans="1:3" x14ac:dyDescent="0.25">
      <c r="A11">
        <v>1000</v>
      </c>
      <c r="B11">
        <v>6.0442658412475252</v>
      </c>
      <c r="C11">
        <v>1569.0110078431371</v>
      </c>
    </row>
    <row r="12" spans="1:3" x14ac:dyDescent="0.25">
      <c r="A12">
        <v>1000</v>
      </c>
      <c r="B12">
        <v>7.0432346531287129</v>
      </c>
      <c r="C12">
        <v>2127.1259166666669</v>
      </c>
    </row>
    <row r="13" spans="1:3" x14ac:dyDescent="0.25">
      <c r="A13">
        <v>1000</v>
      </c>
      <c r="B13">
        <v>7.3459524749108907</v>
      </c>
      <c r="C13">
        <v>2304.1253529411765</v>
      </c>
    </row>
    <row r="14" spans="1:3" x14ac:dyDescent="0.25">
      <c r="A14">
        <v>2000</v>
      </c>
      <c r="B14">
        <v>0.99916666700000001</v>
      </c>
      <c r="C14">
        <v>912.18039215686269</v>
      </c>
    </row>
    <row r="15" spans="1:3" x14ac:dyDescent="0.25">
      <c r="A15">
        <v>2000</v>
      </c>
      <c r="B15">
        <v>1.938383333</v>
      </c>
      <c r="C15">
        <v>1008.3394088235293</v>
      </c>
    </row>
    <row r="16" spans="1:3" x14ac:dyDescent="0.25">
      <c r="A16">
        <v>2000</v>
      </c>
      <c r="B16">
        <v>3.0774333330000001</v>
      </c>
      <c r="C16">
        <v>1209.2502745098038</v>
      </c>
    </row>
    <row r="17" spans="1:3" x14ac:dyDescent="0.25">
      <c r="A17">
        <v>2000</v>
      </c>
      <c r="B17">
        <v>4.0366333330000002</v>
      </c>
      <c r="C17">
        <v>1362.5616245098038</v>
      </c>
    </row>
    <row r="18" spans="1:3" x14ac:dyDescent="0.25">
      <c r="A18">
        <v>2000</v>
      </c>
      <c r="B18">
        <v>5.1357166669999996</v>
      </c>
      <c r="C18">
        <v>1544.743012745098</v>
      </c>
    </row>
    <row r="19" spans="1:3" x14ac:dyDescent="0.25">
      <c r="A19">
        <v>2000</v>
      </c>
      <c r="B19">
        <v>6.1148999999999996</v>
      </c>
      <c r="C19">
        <v>1739.7489999999998</v>
      </c>
    </row>
    <row r="20" spans="1:3" x14ac:dyDescent="0.25">
      <c r="A20">
        <v>2000</v>
      </c>
      <c r="B20">
        <v>6.8143166669999999</v>
      </c>
      <c r="C20">
        <v>1857.235326470588</v>
      </c>
    </row>
    <row r="21" spans="1:3" x14ac:dyDescent="0.25">
      <c r="A21">
        <v>2000</v>
      </c>
      <c r="B21">
        <v>7.9533666670000001</v>
      </c>
      <c r="C21">
        <v>2099.844748039216</v>
      </c>
    </row>
    <row r="22" spans="1:3" x14ac:dyDescent="0.25">
      <c r="A22">
        <v>2000</v>
      </c>
      <c r="B22">
        <v>9.0924166670000002</v>
      </c>
      <c r="C22">
        <v>2270.4299264705883</v>
      </c>
    </row>
    <row r="23" spans="1:3" x14ac:dyDescent="0.25">
      <c r="A23">
        <v>2000</v>
      </c>
      <c r="B23">
        <v>10.03163333</v>
      </c>
      <c r="C23">
        <v>2442.9977647058822</v>
      </c>
    </row>
    <row r="24" spans="1:3" x14ac:dyDescent="0.25">
      <c r="A24">
        <v>2000</v>
      </c>
      <c r="B24">
        <v>11.99</v>
      </c>
      <c r="C24">
        <v>2814.1235294117646</v>
      </c>
    </row>
    <row r="25" spans="1:3" x14ac:dyDescent="0.25">
      <c r="A25">
        <v>2000</v>
      </c>
      <c r="B25">
        <v>13.94836667</v>
      </c>
      <c r="C25">
        <v>3360.6264752156858</v>
      </c>
    </row>
    <row r="26" spans="1:3" x14ac:dyDescent="0.25">
      <c r="A26">
        <v>2000</v>
      </c>
      <c r="B26">
        <v>15.926716669999999</v>
      </c>
      <c r="C26">
        <v>3858.3876423529409</v>
      </c>
    </row>
    <row r="27" spans="1:3" x14ac:dyDescent="0.25">
      <c r="A27">
        <v>2000</v>
      </c>
      <c r="B27">
        <v>18.124883329999999</v>
      </c>
      <c r="C27">
        <v>4559.0833987450978</v>
      </c>
    </row>
    <row r="28" spans="1:3" x14ac:dyDescent="0.25">
      <c r="A28">
        <v>2000</v>
      </c>
      <c r="B28">
        <v>19.024133330000002</v>
      </c>
      <c r="C28">
        <v>4932.6966581176475</v>
      </c>
    </row>
    <row r="29" spans="1:3" x14ac:dyDescent="0.25">
      <c r="A29">
        <v>3000</v>
      </c>
      <c r="B29">
        <v>1.9294587378640777</v>
      </c>
      <c r="C29">
        <v>1450.0035975686274</v>
      </c>
    </row>
    <row r="30" spans="1:3" x14ac:dyDescent="0.25">
      <c r="A30">
        <v>3000</v>
      </c>
      <c r="B30">
        <v>2.938714077669903</v>
      </c>
      <c r="C30">
        <v>1640.8434905098038</v>
      </c>
    </row>
    <row r="31" spans="1:3" x14ac:dyDescent="0.25">
      <c r="A31">
        <v>3000</v>
      </c>
      <c r="B31">
        <v>4.3635451456310683</v>
      </c>
      <c r="C31">
        <v>1921.0885811764706</v>
      </c>
    </row>
    <row r="32" spans="1:3" x14ac:dyDescent="0.25">
      <c r="A32">
        <v>3000</v>
      </c>
      <c r="B32">
        <v>6.0258480582524268</v>
      </c>
      <c r="C32">
        <v>2234.1458360000001</v>
      </c>
    </row>
    <row r="33" spans="1:3" x14ac:dyDescent="0.25">
      <c r="A33">
        <v>3000</v>
      </c>
      <c r="B33">
        <v>8.9942461165048542</v>
      </c>
      <c r="C33">
        <v>2832.7905493333333</v>
      </c>
    </row>
    <row r="34" spans="1:3" x14ac:dyDescent="0.25">
      <c r="A34">
        <v>3000</v>
      </c>
      <c r="B34">
        <v>10.508129126213593</v>
      </c>
      <c r="C34">
        <v>3133.2437270588234</v>
      </c>
    </row>
    <row r="35" spans="1:3" x14ac:dyDescent="0.25">
      <c r="A35">
        <v>3000</v>
      </c>
      <c r="B35">
        <v>11.784540291262134</v>
      </c>
      <c r="C35">
        <v>3356.1011517647062</v>
      </c>
    </row>
    <row r="36" spans="1:3" x14ac:dyDescent="0.25">
      <c r="A36">
        <v>3000</v>
      </c>
      <c r="B36">
        <v>13.357791262135922</v>
      </c>
      <c r="C36">
        <v>3680.3657647058822</v>
      </c>
    </row>
    <row r="37" spans="1:3" x14ac:dyDescent="0.25">
      <c r="A37">
        <v>3000</v>
      </c>
      <c r="B37">
        <v>15.049778155339805</v>
      </c>
      <c r="C37">
        <v>3983.8446552156861</v>
      </c>
    </row>
    <row r="38" spans="1:3" x14ac:dyDescent="0.25">
      <c r="A38">
        <v>3000</v>
      </c>
      <c r="B38">
        <v>17.691652427184469</v>
      </c>
      <c r="C38">
        <v>4539.2767027450991</v>
      </c>
    </row>
    <row r="39" spans="1:3" x14ac:dyDescent="0.25">
      <c r="A39">
        <v>3000</v>
      </c>
      <c r="B39">
        <v>20.660050485436894</v>
      </c>
      <c r="C39">
        <v>5137.108447058823</v>
      </c>
    </row>
    <row r="40" spans="1:3" x14ac:dyDescent="0.25">
      <c r="A40">
        <v>3000</v>
      </c>
      <c r="B40">
        <v>23.895604368932037</v>
      </c>
      <c r="C40">
        <v>5791.5485078431375</v>
      </c>
    </row>
    <row r="41" spans="1:3" x14ac:dyDescent="0.25">
      <c r="A41">
        <v>3000</v>
      </c>
      <c r="B41">
        <v>26.864002427184467</v>
      </c>
      <c r="C41">
        <v>6629.9304505098044</v>
      </c>
    </row>
    <row r="42" spans="1:3" x14ac:dyDescent="0.25">
      <c r="A42">
        <v>3000</v>
      </c>
      <c r="B42">
        <v>29.505876699029123</v>
      </c>
      <c r="C42">
        <v>7339.6554603921577</v>
      </c>
    </row>
    <row r="43" spans="1:3" x14ac:dyDescent="0.25">
      <c r="A43">
        <v>3000</v>
      </c>
      <c r="B43">
        <v>32.622694660194178</v>
      </c>
      <c r="C43">
        <v>8380.3199877647057</v>
      </c>
    </row>
    <row r="44" spans="1:3" x14ac:dyDescent="0.25">
      <c r="A44">
        <v>4000</v>
      </c>
      <c r="B44">
        <v>2.4302807689038461</v>
      </c>
      <c r="C44">
        <v>2070.4833545882352</v>
      </c>
    </row>
    <row r="45" spans="1:3" x14ac:dyDescent="0.25">
      <c r="A45">
        <v>4000</v>
      </c>
      <c r="B45">
        <v>4.3509865384615392</v>
      </c>
      <c r="C45">
        <v>2475.1422494117646</v>
      </c>
    </row>
    <row r="46" spans="1:3" x14ac:dyDescent="0.25">
      <c r="A46">
        <v>4000</v>
      </c>
      <c r="B46">
        <v>5.918909615711538</v>
      </c>
      <c r="C46">
        <v>2741.9101890980387</v>
      </c>
    </row>
    <row r="47" spans="1:3" x14ac:dyDescent="0.25">
      <c r="A47">
        <v>4000</v>
      </c>
      <c r="B47">
        <v>7.8004173080192309</v>
      </c>
      <c r="C47">
        <v>3160.2000682352941</v>
      </c>
    </row>
    <row r="48" spans="1:3" x14ac:dyDescent="0.25">
      <c r="A48">
        <v>4000</v>
      </c>
      <c r="B48">
        <v>10.348292307692308</v>
      </c>
      <c r="C48">
        <v>3557.6991309803921</v>
      </c>
    </row>
    <row r="49" spans="1:3" x14ac:dyDescent="0.25">
      <c r="A49">
        <v>4000</v>
      </c>
      <c r="B49">
        <v>11.602630765961539</v>
      </c>
      <c r="C49">
        <v>3925.0062769411766</v>
      </c>
    </row>
    <row r="50" spans="1:3" x14ac:dyDescent="0.25">
      <c r="A50">
        <v>4000</v>
      </c>
      <c r="B50">
        <v>13.915317310961537</v>
      </c>
      <c r="C50">
        <v>4389.0954487058816</v>
      </c>
    </row>
    <row r="51" spans="1:3" x14ac:dyDescent="0.25">
      <c r="A51">
        <v>4000</v>
      </c>
      <c r="B51">
        <v>15.757626923076925</v>
      </c>
      <c r="C51">
        <v>4760.5020768627455</v>
      </c>
    </row>
    <row r="52" spans="1:3" x14ac:dyDescent="0.25">
      <c r="A52">
        <v>4000</v>
      </c>
      <c r="B52">
        <v>17.44314423403846</v>
      </c>
      <c r="C52">
        <v>5024.9024218823533</v>
      </c>
    </row>
    <row r="53" spans="1:3" x14ac:dyDescent="0.25">
      <c r="A53">
        <v>4000</v>
      </c>
      <c r="B53">
        <v>19.599038458269231</v>
      </c>
      <c r="C53">
        <v>5478.881437568627</v>
      </c>
    </row>
    <row r="54" spans="1:3" x14ac:dyDescent="0.25">
      <c r="A54">
        <v>4000</v>
      </c>
      <c r="B54">
        <v>23.479648073653845</v>
      </c>
      <c r="C54">
        <v>6317.164560862745</v>
      </c>
    </row>
    <row r="55" spans="1:3" x14ac:dyDescent="0.25">
      <c r="A55">
        <v>4000</v>
      </c>
      <c r="B55">
        <v>27.556248080192308</v>
      </c>
      <c r="C55">
        <v>7244.9476258823533</v>
      </c>
    </row>
    <row r="56" spans="1:3" x14ac:dyDescent="0.25">
      <c r="A56">
        <v>4000</v>
      </c>
      <c r="B56">
        <v>31.750442307692307</v>
      </c>
      <c r="C56">
        <v>8119.9101176470595</v>
      </c>
    </row>
    <row r="57" spans="1:3" x14ac:dyDescent="0.25">
      <c r="A57">
        <v>4000</v>
      </c>
      <c r="B57">
        <v>35.199873080192312</v>
      </c>
      <c r="C57">
        <v>8976.4575363921558</v>
      </c>
    </row>
    <row r="58" spans="1:3" x14ac:dyDescent="0.25">
      <c r="A58">
        <v>4000</v>
      </c>
      <c r="B58">
        <v>42.412319227499992</v>
      </c>
      <c r="C58">
        <v>11190.512442352941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</vt:lpstr>
      <vt:lpstr>Summary</vt:lpstr>
      <vt:lpstr>engine1</vt:lpstr>
      <vt:lpstr>engine2</vt:lpstr>
      <vt:lpstr>engine3</vt:lpstr>
      <vt:lpstr>engine4</vt:lpstr>
    </vt:vector>
  </TitlesOfParts>
  <Company>JRC-Ispra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Kostis Anagnostopoulos</dc:creator>
  <cp:lastModifiedBy>Kostis Anagnostopoulos</cp:lastModifiedBy>
  <dcterms:created xsi:type="dcterms:W3CDTF">2014-10-20T08:07:22Z</dcterms:created>
  <dcterms:modified xsi:type="dcterms:W3CDTF">2014-11-19T15:05:21Z</dcterms:modified>
</cp:coreProperties>
</file>